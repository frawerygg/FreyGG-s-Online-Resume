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Freyg\Desktop\PLZ GIVE ME THE JOB\DCF Project\"/>
    </mc:Choice>
  </mc:AlternateContent>
  <xr:revisionPtr revIDLastSave="0" documentId="13_ncr:1_{05A22EB4-9972-44E9-8CB7-DC54C7949908}" xr6:coauthVersionLast="47" xr6:coauthVersionMax="47" xr10:uidLastSave="{00000000-0000-0000-0000-000000000000}"/>
  <bookViews>
    <workbookView xWindow="-110" yWindow="-110" windowWidth="25820" windowHeight="13900" xr2:uid="{00000000-000D-0000-FFFF-FFFF00000000}"/>
  </bookViews>
  <sheets>
    <sheet name="Cover" sheetId="5" r:id="rId1"/>
    <sheet name="Dashboard" sheetId="6" r:id="rId2"/>
    <sheet name="DCF Sensitivity Analysis" sheetId="4" r:id="rId3"/>
    <sheet name="DCF Inputs" sheetId="2" r:id="rId4"/>
    <sheet name="DCF Model" sheetId="3" r:id="rId5"/>
    <sheet name="Comps" sheetId="7" r:id="rId6"/>
    <sheet name="Transactions" sheetId="8" r:id="rId7"/>
    <sheet name="RH Financial Report" sheetId="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5" l="1"/>
  <c r="U16" i="5"/>
  <c r="U15" i="5"/>
  <c r="G80" i="2"/>
  <c r="J15" i="8"/>
  <c r="N15" i="8"/>
  <c r="I27" i="8"/>
  <c r="E50" i="6"/>
  <c r="G50" i="6" s="1"/>
  <c r="E49" i="6"/>
  <c r="G49" i="6" s="1"/>
  <c r="G13" i="7"/>
  <c r="K13" i="7"/>
  <c r="G15" i="7"/>
  <c r="K15" i="7"/>
  <c r="L5" i="6" l="1"/>
  <c r="E5" i="6"/>
  <c r="B5" i="6"/>
  <c r="J14" i="8" l="1"/>
  <c r="J11" i="8"/>
  <c r="K11" i="7"/>
  <c r="K12" i="7"/>
  <c r="K14" i="7"/>
  <c r="K16" i="7"/>
  <c r="K10" i="7"/>
  <c r="N11" i="8"/>
  <c r="N12" i="8"/>
  <c r="N14" i="8"/>
  <c r="N13" i="8"/>
  <c r="J13" i="8"/>
  <c r="J12" i="8"/>
  <c r="B31" i="8"/>
  <c r="L27" i="8"/>
  <c r="L28" i="8" s="1"/>
  <c r="L29" i="8" s="1"/>
  <c r="K27" i="8"/>
  <c r="K28" i="8" s="1"/>
  <c r="K29" i="8" s="1"/>
  <c r="I28" i="8"/>
  <c r="J29" i="8" l="1"/>
  <c r="J28" i="8"/>
  <c r="H28" i="8" s="1"/>
  <c r="M28" i="8" s="1"/>
  <c r="F48" i="6" s="1"/>
  <c r="J26" i="8"/>
  <c r="H26" i="8" s="1"/>
  <c r="M26" i="8" s="1"/>
  <c r="J27" i="8"/>
  <c r="H27" i="8" s="1"/>
  <c r="M27" i="8" s="1"/>
  <c r="I29" i="8"/>
  <c r="H29" i="8" l="1"/>
  <c r="M29" i="8" s="1"/>
  <c r="D48" i="6" s="1"/>
  <c r="E48" i="6" s="1"/>
  <c r="G48" i="6" s="1"/>
  <c r="G16" i="7" l="1"/>
  <c r="G14" i="7"/>
  <c r="I27" i="7"/>
  <c r="I28" i="7" s="1"/>
  <c r="I29" i="7" s="1"/>
  <c r="H27" i="7"/>
  <c r="H28" i="7" s="1"/>
  <c r="H29" i="7" s="1"/>
  <c r="F27" i="7"/>
  <c r="F28" i="7" s="1"/>
  <c r="G12" i="7"/>
  <c r="G11" i="7"/>
  <c r="G10" i="7"/>
  <c r="K276" i="3"/>
  <c r="C273" i="3"/>
  <c r="O13" i="4"/>
  <c r="O50" i="4" s="1"/>
  <c r="N48" i="4"/>
  <c r="E13" i="4"/>
  <c r="E14" i="4" s="1"/>
  <c r="G29" i="7" l="1"/>
  <c r="G27" i="7"/>
  <c r="E27" i="7" s="1"/>
  <c r="J27" i="7" s="1"/>
  <c r="G28" i="7"/>
  <c r="E28" i="7" s="1"/>
  <c r="J28" i="7" s="1"/>
  <c r="F47" i="6" s="1"/>
  <c r="G26" i="7"/>
  <c r="E26" i="7" s="1"/>
  <c r="J26" i="7" s="1"/>
  <c r="F29" i="7"/>
  <c r="E29" i="7" s="1"/>
  <c r="D42" i="4"/>
  <c r="D4" i="2"/>
  <c r="H61" i="4"/>
  <c r="G61" i="4"/>
  <c r="F61" i="4"/>
  <c r="E61" i="4"/>
  <c r="D61" i="4"/>
  <c r="H60" i="4"/>
  <c r="G60" i="4"/>
  <c r="F60" i="4"/>
  <c r="E60" i="4"/>
  <c r="D60" i="4"/>
  <c r="H59" i="4"/>
  <c r="G59" i="4"/>
  <c r="F59" i="4"/>
  <c r="E59" i="4"/>
  <c r="D59" i="4"/>
  <c r="H58" i="4"/>
  <c r="G58" i="4"/>
  <c r="F58" i="4"/>
  <c r="E58" i="4"/>
  <c r="D58" i="4"/>
  <c r="H57" i="4"/>
  <c r="G57" i="4"/>
  <c r="F57" i="4"/>
  <c r="E57" i="4"/>
  <c r="D57" i="4"/>
  <c r="O46" i="4"/>
  <c r="F56" i="4" s="1"/>
  <c r="E314" i="3"/>
  <c r="D314" i="3" s="1"/>
  <c r="G314" i="3"/>
  <c r="H314" i="3" s="1"/>
  <c r="H24" i="4"/>
  <c r="G24" i="4"/>
  <c r="F24" i="4"/>
  <c r="E24" i="4"/>
  <c r="D24" i="4"/>
  <c r="H23" i="4"/>
  <c r="G23" i="4"/>
  <c r="F23" i="4"/>
  <c r="E23" i="4"/>
  <c r="D23" i="4"/>
  <c r="H22" i="4"/>
  <c r="G22" i="4"/>
  <c r="F22" i="4"/>
  <c r="E22" i="4"/>
  <c r="D22" i="4"/>
  <c r="H21" i="4"/>
  <c r="G21" i="4"/>
  <c r="F21" i="4"/>
  <c r="E21" i="4"/>
  <c r="D21" i="4"/>
  <c r="H20" i="4"/>
  <c r="G20" i="4"/>
  <c r="F20" i="4"/>
  <c r="E20" i="4"/>
  <c r="D20" i="4"/>
  <c r="J29" i="7" l="1"/>
  <c r="D47" i="6" s="1"/>
  <c r="F67" i="4"/>
  <c r="N67" i="4" s="1"/>
  <c r="E56" i="4"/>
  <c r="M56" i="4" s="1"/>
  <c r="G56" i="4"/>
  <c r="N56" i="4"/>
  <c r="E47" i="6" l="1"/>
  <c r="G47" i="6" s="1"/>
  <c r="E67" i="4"/>
  <c r="M67" i="4" s="1"/>
  <c r="D56" i="4"/>
  <c r="O56" i="4"/>
  <c r="G67" i="4"/>
  <c r="O67" i="4" s="1"/>
  <c r="H56" i="4"/>
  <c r="O12" i="4"/>
  <c r="O49" i="4" s="1"/>
  <c r="K296" i="3"/>
  <c r="K289" i="3"/>
  <c r="O288" i="3"/>
  <c r="N288" i="3"/>
  <c r="M288" i="3"/>
  <c r="L288" i="3"/>
  <c r="K282" i="3"/>
  <c r="D67" i="4" l="1"/>
  <c r="L67" i="4" s="1"/>
  <c r="L56" i="4"/>
  <c r="H67" i="4"/>
  <c r="P67" i="4" s="1"/>
  <c r="P56" i="4"/>
  <c r="D91" i="3" l="1"/>
  <c r="D90" i="3"/>
  <c r="D86" i="3"/>
  <c r="C232" i="3"/>
  <c r="O9" i="4" s="1"/>
  <c r="F19" i="4" s="1"/>
  <c r="P265" i="3"/>
  <c r="P307" i="3" s="1"/>
  <c r="M53" i="2"/>
  <c r="M85" i="2"/>
  <c r="I72" i="2"/>
  <c r="J70" i="2"/>
  <c r="M70" i="2" s="1"/>
  <c r="K70" i="2"/>
  <c r="J69" i="2"/>
  <c r="M69" i="2" s="1"/>
  <c r="K69" i="2"/>
  <c r="J68" i="2"/>
  <c r="M68" i="2" s="1"/>
  <c r="K68" i="2"/>
  <c r="J67" i="2"/>
  <c r="M67" i="2" s="1"/>
  <c r="K67" i="2"/>
  <c r="J66" i="2"/>
  <c r="M66" i="2" s="1"/>
  <c r="K66" i="2"/>
  <c r="L233" i="3"/>
  <c r="L274" i="3" s="1"/>
  <c r="M274" i="3" s="1"/>
  <c r="N274" i="3" s="1"/>
  <c r="O274" i="3" s="1"/>
  <c r="P274" i="3" s="1"/>
  <c r="Q274" i="3" s="1"/>
  <c r="L232" i="3"/>
  <c r="L273" i="3" s="1"/>
  <c r="C19" i="3"/>
  <c r="G208" i="3"/>
  <c r="M273" i="3" l="1"/>
  <c r="N273" i="3" s="1"/>
  <c r="E19" i="4"/>
  <c r="G19" i="4"/>
  <c r="N19" i="4"/>
  <c r="F30" i="4"/>
  <c r="N30" i="4" s="1"/>
  <c r="Q220" i="3"/>
  <c r="M86" i="2"/>
  <c r="M92" i="2" s="1"/>
  <c r="E85" i="2"/>
  <c r="L92" i="2"/>
  <c r="G86" i="2"/>
  <c r="L73" i="2"/>
  <c r="I73" i="2"/>
  <c r="L72" i="2"/>
  <c r="K65" i="2"/>
  <c r="J65" i="2"/>
  <c r="M65" i="2" s="1"/>
  <c r="K64" i="2"/>
  <c r="J64" i="2"/>
  <c r="M64" i="2" s="1"/>
  <c r="K63" i="2"/>
  <c r="J63" i="2"/>
  <c r="M63" i="2" s="1"/>
  <c r="K62" i="2"/>
  <c r="J62" i="2"/>
  <c r="K232" i="3"/>
  <c r="K273" i="3" s="1"/>
  <c r="K254" i="3"/>
  <c r="K247" i="3"/>
  <c r="O246" i="3"/>
  <c r="N246" i="3"/>
  <c r="M246" i="3"/>
  <c r="L246" i="3"/>
  <c r="K240" i="3"/>
  <c r="M55" i="2"/>
  <c r="M54" i="2"/>
  <c r="M42" i="2"/>
  <c r="M41" i="2"/>
  <c r="Q49" i="3"/>
  <c r="Q50" i="3"/>
  <c r="Q51" i="3"/>
  <c r="Q52" i="3"/>
  <c r="Q53" i="3"/>
  <c r="Q56" i="3"/>
  <c r="Q57" i="3"/>
  <c r="Q58" i="3"/>
  <c r="Q36" i="3"/>
  <c r="Q16" i="3"/>
  <c r="M203" i="3"/>
  <c r="N203" i="3" s="1"/>
  <c r="O203" i="3" s="1"/>
  <c r="P203" i="3" s="1"/>
  <c r="K194" i="3"/>
  <c r="L191" i="3" s="1"/>
  <c r="M171" i="3"/>
  <c r="N171" i="3" s="1"/>
  <c r="O171" i="3" s="1"/>
  <c r="P171" i="3" s="1"/>
  <c r="K161" i="3"/>
  <c r="L158" i="3" s="1"/>
  <c r="D143" i="3"/>
  <c r="D176" i="3" s="1"/>
  <c r="M137" i="3"/>
  <c r="N137" i="3" s="1"/>
  <c r="O137" i="3" s="1"/>
  <c r="P137" i="3" s="1"/>
  <c r="C18" i="3"/>
  <c r="L32" i="3" s="1"/>
  <c r="L221" i="3" s="1"/>
  <c r="D121" i="3"/>
  <c r="K134" i="3"/>
  <c r="L131" i="3" s="1"/>
  <c r="D122" i="3"/>
  <c r="M116" i="3"/>
  <c r="N116" i="3" s="1"/>
  <c r="O116" i="3" s="1"/>
  <c r="P116" i="3" s="1"/>
  <c r="L51" i="3"/>
  <c r="M51" i="3"/>
  <c r="N51" i="3"/>
  <c r="O51" i="3"/>
  <c r="P51" i="3"/>
  <c r="L52" i="3"/>
  <c r="M52" i="3"/>
  <c r="N52" i="3"/>
  <c r="O52" i="3"/>
  <c r="P52" i="3"/>
  <c r="L53" i="3"/>
  <c r="M53" i="3"/>
  <c r="N53" i="3"/>
  <c r="O53" i="3"/>
  <c r="P53" i="3"/>
  <c r="M50" i="3"/>
  <c r="N50" i="3"/>
  <c r="O50" i="3"/>
  <c r="P50" i="3"/>
  <c r="L50" i="3"/>
  <c r="F48" i="3"/>
  <c r="M49" i="3"/>
  <c r="N49" i="3"/>
  <c r="O49" i="3"/>
  <c r="P49" i="3"/>
  <c r="L49" i="3"/>
  <c r="G48" i="3"/>
  <c r="H48" i="3"/>
  <c r="I48" i="3"/>
  <c r="J48" i="3"/>
  <c r="K48" i="3"/>
  <c r="M56" i="3"/>
  <c r="N56" i="3"/>
  <c r="O56" i="3"/>
  <c r="P56" i="3"/>
  <c r="M57" i="3"/>
  <c r="N57" i="3"/>
  <c r="O57" i="3"/>
  <c r="P57" i="3"/>
  <c r="M58" i="3"/>
  <c r="N58" i="3"/>
  <c r="O58" i="3"/>
  <c r="P58" i="3"/>
  <c r="L57" i="3"/>
  <c r="L58" i="3"/>
  <c r="L56" i="3"/>
  <c r="G63" i="3"/>
  <c r="G49" i="3" s="1"/>
  <c r="H63" i="3"/>
  <c r="H49" i="3" s="1"/>
  <c r="I63" i="3"/>
  <c r="I49" i="3" s="1"/>
  <c r="J63" i="3"/>
  <c r="J49" i="3" s="1"/>
  <c r="K63" i="3"/>
  <c r="K49" i="3" s="1"/>
  <c r="G64" i="3"/>
  <c r="H64" i="3"/>
  <c r="I64" i="3"/>
  <c r="J64" i="3"/>
  <c r="K64" i="3"/>
  <c r="F64" i="3"/>
  <c r="F63" i="3"/>
  <c r="F49" i="3" s="1"/>
  <c r="G66" i="3"/>
  <c r="H66" i="3"/>
  <c r="I66" i="3"/>
  <c r="J66" i="3"/>
  <c r="K66" i="3"/>
  <c r="G67" i="3"/>
  <c r="H67" i="3"/>
  <c r="I67" i="3"/>
  <c r="J67" i="3"/>
  <c r="K67" i="3"/>
  <c r="G68" i="3"/>
  <c r="H68" i="3"/>
  <c r="I68" i="3"/>
  <c r="J68" i="3"/>
  <c r="K68" i="3"/>
  <c r="F67" i="3"/>
  <c r="F68" i="3"/>
  <c r="F66" i="3"/>
  <c r="G61" i="3"/>
  <c r="H61" i="3"/>
  <c r="I61" i="3"/>
  <c r="J61" i="3"/>
  <c r="K61" i="3"/>
  <c r="G62" i="3"/>
  <c r="H62" i="3"/>
  <c r="I62" i="3"/>
  <c r="J62" i="3"/>
  <c r="K62" i="3"/>
  <c r="G65" i="3"/>
  <c r="H65" i="3"/>
  <c r="I65" i="3"/>
  <c r="J65" i="3"/>
  <c r="K65" i="3"/>
  <c r="F65" i="3"/>
  <c r="F62" i="3"/>
  <c r="F61" i="3"/>
  <c r="G43" i="3"/>
  <c r="H43" i="3" s="1"/>
  <c r="I43" i="3" s="1"/>
  <c r="J43" i="3" s="1"/>
  <c r="K43" i="3" s="1"/>
  <c r="L43" i="3" s="1"/>
  <c r="M43" i="3" s="1"/>
  <c r="N43" i="3" s="1"/>
  <c r="O43" i="3" s="1"/>
  <c r="P43" i="3" s="1"/>
  <c r="G46" i="3"/>
  <c r="H46" i="3"/>
  <c r="I46" i="3"/>
  <c r="J46" i="3"/>
  <c r="K46" i="3"/>
  <c r="G47" i="3"/>
  <c r="H47" i="3"/>
  <c r="I47" i="3"/>
  <c r="J47" i="3"/>
  <c r="K47" i="3"/>
  <c r="F47" i="3"/>
  <c r="F46" i="3"/>
  <c r="M285" i="3" l="1"/>
  <c r="L93" i="2"/>
  <c r="G89" i="2"/>
  <c r="E87" i="2"/>
  <c r="F85" i="2" s="1"/>
  <c r="K274" i="3"/>
  <c r="L292" i="3" s="1"/>
  <c r="M292" i="3" s="1"/>
  <c r="N292" i="3" s="1"/>
  <c r="O292" i="3" s="1"/>
  <c r="P292" i="3" s="1"/>
  <c r="Q292" i="3" s="1"/>
  <c r="L285" i="3"/>
  <c r="H19" i="4"/>
  <c r="O19" i="4"/>
  <c r="G30" i="4"/>
  <c r="O30" i="4" s="1"/>
  <c r="D19" i="4"/>
  <c r="M19" i="4"/>
  <c r="E30" i="4"/>
  <c r="M30" i="4" s="1"/>
  <c r="K265" i="3"/>
  <c r="K307" i="3" s="1"/>
  <c r="O11" i="4"/>
  <c r="K72" i="2"/>
  <c r="N285" i="3"/>
  <c r="O273" i="3"/>
  <c r="O285" i="3" s="1"/>
  <c r="J72" i="2"/>
  <c r="M62" i="2"/>
  <c r="M72" i="2" s="1"/>
  <c r="G78" i="2" s="1"/>
  <c r="G79" i="2" s="1"/>
  <c r="I57" i="3"/>
  <c r="H51" i="3"/>
  <c r="I56" i="3"/>
  <c r="M232" i="3"/>
  <c r="N232" i="3" s="1"/>
  <c r="J73" i="2"/>
  <c r="K73" i="2"/>
  <c r="L243" i="3"/>
  <c r="K233" i="3"/>
  <c r="L250" i="3" s="1"/>
  <c r="M233" i="3"/>
  <c r="N233" i="3" s="1"/>
  <c r="O233" i="3" s="1"/>
  <c r="P233" i="3" s="1"/>
  <c r="Q233" i="3" s="1"/>
  <c r="G87" i="2"/>
  <c r="P32" i="3"/>
  <c r="P221" i="3" s="1"/>
  <c r="O32" i="3"/>
  <c r="O221" i="3" s="1"/>
  <c r="N32" i="3"/>
  <c r="N221" i="3" s="1"/>
  <c r="M32" i="3"/>
  <c r="M221" i="3" s="1"/>
  <c r="Q32" i="3"/>
  <c r="Q221" i="3" s="1"/>
  <c r="H53" i="3"/>
  <c r="H71" i="3"/>
  <c r="G71" i="3"/>
  <c r="F71" i="3"/>
  <c r="G52" i="3"/>
  <c r="J72" i="3"/>
  <c r="I72" i="3"/>
  <c r="G53" i="3"/>
  <c r="K52" i="3"/>
  <c r="J52" i="3"/>
  <c r="I52" i="3"/>
  <c r="H52" i="3"/>
  <c r="I51" i="3"/>
  <c r="G51" i="3"/>
  <c r="G56" i="3"/>
  <c r="F72" i="3"/>
  <c r="H72" i="3"/>
  <c r="G72" i="3"/>
  <c r="K71" i="3"/>
  <c r="K51" i="3"/>
  <c r="J71" i="3"/>
  <c r="J51" i="3"/>
  <c r="F53" i="3"/>
  <c r="F52" i="3"/>
  <c r="K53" i="3"/>
  <c r="J53" i="3"/>
  <c r="F50" i="3"/>
  <c r="K72" i="3"/>
  <c r="I53" i="3"/>
  <c r="I71" i="3"/>
  <c r="J56" i="3"/>
  <c r="F51" i="3"/>
  <c r="K50" i="3"/>
  <c r="J50" i="3"/>
  <c r="I50" i="3"/>
  <c r="H50" i="3"/>
  <c r="G50" i="3"/>
  <c r="J57" i="3"/>
  <c r="H56" i="3"/>
  <c r="K56" i="3"/>
  <c r="H57" i="3"/>
  <c r="J58" i="3"/>
  <c r="I58" i="3"/>
  <c r="F57" i="3"/>
  <c r="H58" i="3"/>
  <c r="F56" i="3"/>
  <c r="G58" i="3"/>
  <c r="F58" i="3"/>
  <c r="K58" i="3"/>
  <c r="G57" i="3"/>
  <c r="K57" i="3"/>
  <c r="F86" i="2" l="1"/>
  <c r="F89" i="2" s="1"/>
  <c r="H30" i="4"/>
  <c r="P30" i="4" s="1"/>
  <c r="P19" i="4"/>
  <c r="P273" i="3"/>
  <c r="P285" i="3" s="1"/>
  <c r="E35" i="4"/>
  <c r="M24" i="4" s="1"/>
  <c r="M35" i="4" s="1"/>
  <c r="H33" i="4"/>
  <c r="P22" i="4" s="1"/>
  <c r="P33" i="4" s="1"/>
  <c r="G33" i="4"/>
  <c r="O22" i="4" s="1"/>
  <c r="O33" i="4" s="1"/>
  <c r="D35" i="4"/>
  <c r="L24" i="4" s="1"/>
  <c r="L35" i="4" s="1"/>
  <c r="G13" i="4"/>
  <c r="H13" i="4" s="1"/>
  <c r="G34" i="4"/>
  <c r="O23" i="4" s="1"/>
  <c r="O34" i="4" s="1"/>
  <c r="F34" i="4"/>
  <c r="N23" i="4" s="1"/>
  <c r="N34" i="4" s="1"/>
  <c r="G12" i="4"/>
  <c r="H12" i="4" s="1"/>
  <c r="F46" i="6" s="1"/>
  <c r="E34" i="4"/>
  <c r="M23" i="4" s="1"/>
  <c r="M34" i="4" s="1"/>
  <c r="O48" i="4"/>
  <c r="H35" i="4"/>
  <c r="P24" i="4" s="1"/>
  <c r="P35" i="4" s="1"/>
  <c r="D34" i="4"/>
  <c r="L23" i="4" s="1"/>
  <c r="L34" i="4" s="1"/>
  <c r="D31" i="4"/>
  <c r="L20" i="4" s="1"/>
  <c r="L31" i="4" s="1"/>
  <c r="H32" i="4"/>
  <c r="P21" i="4" s="1"/>
  <c r="P32" i="4" s="1"/>
  <c r="F35" i="4"/>
  <c r="N24" i="4" s="1"/>
  <c r="N35" i="4" s="1"/>
  <c r="G32" i="4"/>
  <c r="O21" i="4" s="1"/>
  <c r="O32" i="4" s="1"/>
  <c r="H31" i="4"/>
  <c r="P20" i="4" s="1"/>
  <c r="P31" i="4" s="1"/>
  <c r="E32" i="4"/>
  <c r="M21" i="4" s="1"/>
  <c r="M32" i="4" s="1"/>
  <c r="G35" i="4"/>
  <c r="O24" i="4" s="1"/>
  <c r="O35" i="4" s="1"/>
  <c r="E31" i="4"/>
  <c r="M20" i="4" s="1"/>
  <c r="M31" i="4" s="1"/>
  <c r="G14" i="4"/>
  <c r="H14" i="4" s="1"/>
  <c r="D46" i="6" s="1"/>
  <c r="F31" i="4"/>
  <c r="N20" i="4" s="1"/>
  <c r="N31" i="4" s="1"/>
  <c r="G31" i="4"/>
  <c r="O20" i="4" s="1"/>
  <c r="O31" i="4" s="1"/>
  <c r="F32" i="4"/>
  <c r="N21" i="4" s="1"/>
  <c r="N32" i="4" s="1"/>
  <c r="D32" i="4"/>
  <c r="L21" i="4" s="1"/>
  <c r="L32" i="4" s="1"/>
  <c r="D33" i="4"/>
  <c r="L22" i="4" s="1"/>
  <c r="L33" i="4" s="1"/>
  <c r="E33" i="4"/>
  <c r="M22" i="4" s="1"/>
  <c r="M33" i="4" s="1"/>
  <c r="F33" i="4"/>
  <c r="N22" i="4" s="1"/>
  <c r="N33" i="4" s="1"/>
  <c r="H34" i="4"/>
  <c r="P23" i="4" s="1"/>
  <c r="P34" i="4" s="1"/>
  <c r="L19" i="4"/>
  <c r="D30" i="4"/>
  <c r="L30" i="4" s="1"/>
  <c r="M243" i="3"/>
  <c r="M250" i="3"/>
  <c r="N250" i="3" s="1"/>
  <c r="O250" i="3" s="1"/>
  <c r="P250" i="3" s="1"/>
  <c r="M73" i="2"/>
  <c r="O232" i="3"/>
  <c r="O243" i="3" s="1"/>
  <c r="N243" i="3"/>
  <c r="K73" i="3"/>
  <c r="F73" i="3"/>
  <c r="I73" i="3"/>
  <c r="J73" i="3"/>
  <c r="H73" i="3"/>
  <c r="G73" i="3"/>
  <c r="E46" i="6" l="1"/>
  <c r="G46" i="6" s="1"/>
  <c r="E68" i="4"/>
  <c r="M57" i="4" s="1"/>
  <c r="M68" i="4" s="1"/>
  <c r="G69" i="4"/>
  <c r="O58" i="4" s="1"/>
  <c r="O69" i="4" s="1"/>
  <c r="D69" i="4"/>
  <c r="L58" i="4" s="1"/>
  <c r="L69" i="4" s="1"/>
  <c r="G71" i="4"/>
  <c r="O60" i="4" s="1"/>
  <c r="O71" i="4" s="1"/>
  <c r="F69" i="4"/>
  <c r="N58" i="4" s="1"/>
  <c r="N69" i="4" s="1"/>
  <c r="G72" i="4"/>
  <c r="O61" i="4" s="1"/>
  <c r="O72" i="4" s="1"/>
  <c r="F70" i="4"/>
  <c r="N59" i="4" s="1"/>
  <c r="N70" i="4" s="1"/>
  <c r="G50" i="4"/>
  <c r="H50" i="4" s="1"/>
  <c r="H69" i="4"/>
  <c r="P58" i="4" s="1"/>
  <c r="P69" i="4" s="1"/>
  <c r="G68" i="4"/>
  <c r="O57" i="4" s="1"/>
  <c r="O68" i="4" s="1"/>
  <c r="D70" i="4"/>
  <c r="L59" i="4" s="1"/>
  <c r="L70" i="4" s="1"/>
  <c r="E71" i="4"/>
  <c r="M60" i="4" s="1"/>
  <c r="M71" i="4" s="1"/>
  <c r="H68" i="4"/>
  <c r="P57" i="4" s="1"/>
  <c r="P68" i="4" s="1"/>
  <c r="F72" i="4"/>
  <c r="N61" i="4" s="1"/>
  <c r="N72" i="4" s="1"/>
  <c r="E69" i="4"/>
  <c r="M58" i="4" s="1"/>
  <c r="M69" i="4" s="1"/>
  <c r="G49" i="4"/>
  <c r="H49" i="4" s="1"/>
  <c r="H71" i="4"/>
  <c r="P60" i="4" s="1"/>
  <c r="P71" i="4" s="1"/>
  <c r="H72" i="4"/>
  <c r="P61" i="4" s="1"/>
  <c r="P72" i="4" s="1"/>
  <c r="H70" i="4"/>
  <c r="P59" i="4" s="1"/>
  <c r="P70" i="4" s="1"/>
  <c r="D68" i="4"/>
  <c r="L57" i="4" s="1"/>
  <c r="L68" i="4" s="1"/>
  <c r="G70" i="4"/>
  <c r="O59" i="4" s="1"/>
  <c r="O70" i="4" s="1"/>
  <c r="D72" i="4"/>
  <c r="L61" i="4" s="1"/>
  <c r="L72" i="4" s="1"/>
  <c r="G51" i="4"/>
  <c r="H51" i="4" s="1"/>
  <c r="E70" i="4"/>
  <c r="M59" i="4" s="1"/>
  <c r="M70" i="4" s="1"/>
  <c r="F71" i="4"/>
  <c r="N60" i="4" s="1"/>
  <c r="N71" i="4" s="1"/>
  <c r="D71" i="4"/>
  <c r="L60" i="4" s="1"/>
  <c r="L71" i="4" s="1"/>
  <c r="E72" i="4"/>
  <c r="M61" i="4" s="1"/>
  <c r="M72" i="4" s="1"/>
  <c r="F68" i="4"/>
  <c r="N57" i="4" s="1"/>
  <c r="N68" i="4" s="1"/>
  <c r="Q273" i="3"/>
  <c r="G282" i="3" s="1"/>
  <c r="K76" i="3"/>
  <c r="M78" i="2"/>
  <c r="M80" i="2" s="1"/>
  <c r="F87" i="2"/>
  <c r="P232" i="3"/>
  <c r="Q232" i="3" s="1"/>
  <c r="G76" i="3"/>
  <c r="H76" i="3"/>
  <c r="I76" i="3"/>
  <c r="J76" i="3"/>
  <c r="Q285" i="3" l="1"/>
  <c r="P243" i="3"/>
  <c r="D6" i="1"/>
  <c r="E6" i="1"/>
  <c r="F6" i="1"/>
  <c r="G6" i="1"/>
  <c r="H6" i="1"/>
  <c r="C6" i="1"/>
  <c r="F26" i="3"/>
  <c r="G26" i="3"/>
  <c r="M93" i="2" l="1"/>
  <c r="M96" i="2" s="1"/>
  <c r="J96" i="3"/>
  <c r="L98" i="3"/>
  <c r="M99" i="3" s="1"/>
  <c r="L99" i="3"/>
  <c r="L97" i="3"/>
  <c r="L96" i="3"/>
  <c r="M97" i="3" s="1"/>
  <c r="L91" i="3"/>
  <c r="M90" i="3"/>
  <c r="N90" i="3" s="1"/>
  <c r="O90" i="3" s="1"/>
  <c r="P90" i="3" s="1"/>
  <c r="D87" i="3"/>
  <c r="K128" i="3" s="1"/>
  <c r="L125" i="3" s="1"/>
  <c r="L87" i="3"/>
  <c r="M87" i="3" s="1"/>
  <c r="M86" i="3"/>
  <c r="N86" i="3" s="1"/>
  <c r="O86" i="3" s="1"/>
  <c r="P86" i="3" s="1"/>
  <c r="G83" i="3"/>
  <c r="G82" i="3" s="1"/>
  <c r="H83" i="3"/>
  <c r="H82" i="3" s="1"/>
  <c r="I83" i="3"/>
  <c r="I82" i="3" s="1"/>
  <c r="J83" i="3"/>
  <c r="J82" i="3" s="1"/>
  <c r="K83" i="3"/>
  <c r="K82" i="3" s="1"/>
  <c r="F83" i="3"/>
  <c r="F82" i="3" s="1"/>
  <c r="G80" i="3"/>
  <c r="H80" i="3" s="1"/>
  <c r="I80" i="3" s="1"/>
  <c r="J80" i="3" s="1"/>
  <c r="K80" i="3" s="1"/>
  <c r="L80" i="3" s="1"/>
  <c r="M80" i="3" s="1"/>
  <c r="N80" i="3" s="1"/>
  <c r="O80" i="3" s="1"/>
  <c r="P80" i="3" s="1"/>
  <c r="P94" i="3" s="1"/>
  <c r="P102" i="3" s="1"/>
  <c r="M16" i="3"/>
  <c r="N16" i="3"/>
  <c r="O16" i="3"/>
  <c r="P16" i="3"/>
  <c r="L16" i="3"/>
  <c r="L25" i="3" s="1"/>
  <c r="L48" i="3" s="1"/>
  <c r="L63" i="3" s="1"/>
  <c r="G14" i="3"/>
  <c r="H14" i="3" s="1"/>
  <c r="I14" i="3" s="1"/>
  <c r="J14" i="3" s="1"/>
  <c r="K14" i="3" s="1"/>
  <c r="L14" i="3" s="1"/>
  <c r="M14" i="3" s="1"/>
  <c r="N14" i="3" s="1"/>
  <c r="O14" i="3" s="1"/>
  <c r="P14" i="3" s="1"/>
  <c r="G4" i="3"/>
  <c r="H4" i="3" s="1"/>
  <c r="I4" i="3" s="1"/>
  <c r="J4" i="3" s="1"/>
  <c r="K4" i="3" s="1"/>
  <c r="L4" i="3" s="1"/>
  <c r="M4" i="3" s="1"/>
  <c r="N4" i="3" s="1"/>
  <c r="O4" i="3" s="1"/>
  <c r="P4" i="3" s="1"/>
  <c r="L20" i="2"/>
  <c r="Q82" i="3" s="1"/>
  <c r="K20" i="2"/>
  <c r="P82" i="3" s="1"/>
  <c r="J20" i="2"/>
  <c r="O82" i="3" s="1"/>
  <c r="I20" i="2"/>
  <c r="N82" i="3" s="1"/>
  <c r="H20" i="2"/>
  <c r="M82" i="3" s="1"/>
  <c r="G20" i="2"/>
  <c r="L82" i="3" s="1"/>
  <c r="L14" i="2"/>
  <c r="Q9" i="3" s="1"/>
  <c r="K14" i="2"/>
  <c r="P9" i="3" s="1"/>
  <c r="J14" i="2"/>
  <c r="O9" i="3" s="1"/>
  <c r="I14" i="2"/>
  <c r="N9" i="3" s="1"/>
  <c r="H14" i="2"/>
  <c r="M9" i="3" s="1"/>
  <c r="G14" i="2"/>
  <c r="L9" i="3" s="1"/>
  <c r="H7" i="2"/>
  <c r="M6" i="3" s="1"/>
  <c r="I7" i="2"/>
  <c r="N6" i="3" s="1"/>
  <c r="J7" i="2"/>
  <c r="O6" i="3" s="1"/>
  <c r="K7" i="2"/>
  <c r="P6" i="3" s="1"/>
  <c r="L7" i="2"/>
  <c r="Q6" i="3" s="1"/>
  <c r="G7" i="2"/>
  <c r="L6" i="3" s="1"/>
  <c r="H5" i="2"/>
  <c r="I5" i="2" s="1"/>
  <c r="J5" i="2" s="1"/>
  <c r="K5" i="2" s="1"/>
  <c r="G54" i="2" l="1"/>
  <c r="C233" i="3"/>
  <c r="O10" i="4" s="1"/>
  <c r="M110" i="3"/>
  <c r="M25" i="3"/>
  <c r="B87" i="3"/>
  <c r="M94" i="3"/>
  <c r="M102" i="3" s="1"/>
  <c r="M91" i="3"/>
  <c r="N91" i="3" s="1"/>
  <c r="O91" i="3" s="1"/>
  <c r="P91" i="3" s="1"/>
  <c r="P95" i="3" s="1"/>
  <c r="J95" i="3"/>
  <c r="J99" i="3"/>
  <c r="J98" i="3"/>
  <c r="J97" i="3"/>
  <c r="L95" i="3"/>
  <c r="M96" i="3" s="1"/>
  <c r="N97" i="3" s="1"/>
  <c r="O94" i="3"/>
  <c r="O102" i="3" s="1"/>
  <c r="N94" i="3"/>
  <c r="N102" i="3" s="1"/>
  <c r="I95" i="3"/>
  <c r="I96" i="3" s="1"/>
  <c r="I97" i="3" s="1"/>
  <c r="L110" i="3"/>
  <c r="L94" i="3"/>
  <c r="L102" i="3" s="1"/>
  <c r="M98" i="3"/>
  <c r="N98" i="3"/>
  <c r="N87" i="3"/>
  <c r="K26" i="3"/>
  <c r="L26" i="3" s="1"/>
  <c r="M26" i="3" s="1"/>
  <c r="J26" i="3"/>
  <c r="I26" i="3"/>
  <c r="H26" i="3"/>
  <c r="L7" i="3"/>
  <c r="L46" i="3" s="1"/>
  <c r="C22" i="4" l="1"/>
  <c r="O47" i="4"/>
  <c r="C274" i="3"/>
  <c r="G55" i="2"/>
  <c r="L64" i="3"/>
  <c r="L67" i="3"/>
  <c r="L68" i="3"/>
  <c r="L61" i="3"/>
  <c r="N25" i="3"/>
  <c r="M48" i="3"/>
  <c r="M63" i="3" s="1"/>
  <c r="L21" i="3"/>
  <c r="L83" i="3"/>
  <c r="M95" i="3"/>
  <c r="N96" i="3" s="1"/>
  <c r="O97" i="3" s="1"/>
  <c r="N95" i="3"/>
  <c r="O96" i="3" s="1"/>
  <c r="O95" i="3"/>
  <c r="P96" i="3" s="1"/>
  <c r="O87" i="3"/>
  <c r="O110" i="3" s="1"/>
  <c r="N110" i="3"/>
  <c r="I103" i="3"/>
  <c r="I104" i="3"/>
  <c r="N99" i="3"/>
  <c r="O99" i="3"/>
  <c r="I98" i="3"/>
  <c r="I105" i="3"/>
  <c r="O98" i="3"/>
  <c r="N26" i="3"/>
  <c r="M7" i="3"/>
  <c r="M46" i="3" s="1"/>
  <c r="L10" i="3"/>
  <c r="L47" i="3" s="1"/>
  <c r="C23" i="4" l="1"/>
  <c r="C21" i="4"/>
  <c r="C59" i="4"/>
  <c r="C33" i="4"/>
  <c r="K33" i="4" s="1"/>
  <c r="K22" i="4"/>
  <c r="L119" i="3"/>
  <c r="L126" i="3" s="1"/>
  <c r="L132" i="3" s="1"/>
  <c r="L213" i="3"/>
  <c r="L223" i="3" s="1"/>
  <c r="L65" i="3"/>
  <c r="L62" i="3"/>
  <c r="L71" i="3" s="1"/>
  <c r="L66" i="3"/>
  <c r="M64" i="3"/>
  <c r="M61" i="3"/>
  <c r="M67" i="3"/>
  <c r="M68" i="3"/>
  <c r="O25" i="3"/>
  <c r="N48" i="3"/>
  <c r="N63" i="3" s="1"/>
  <c r="J103" i="3"/>
  <c r="K103" i="3" s="1"/>
  <c r="M21" i="3"/>
  <c r="M83" i="3"/>
  <c r="M213" i="3" s="1"/>
  <c r="M223" i="3" s="1"/>
  <c r="P87" i="3"/>
  <c r="P110" i="3" s="1"/>
  <c r="P97" i="3"/>
  <c r="P99" i="3"/>
  <c r="I106" i="3"/>
  <c r="I99" i="3"/>
  <c r="I107" i="3" s="1"/>
  <c r="P98" i="3"/>
  <c r="O26" i="3"/>
  <c r="N7" i="3"/>
  <c r="N46" i="3" s="1"/>
  <c r="M10" i="3"/>
  <c r="M47" i="3" s="1"/>
  <c r="C70" i="4" l="1"/>
  <c r="K70" i="4" s="1"/>
  <c r="K59" i="4"/>
  <c r="K21" i="4"/>
  <c r="C20" i="4"/>
  <c r="C58" i="4"/>
  <c r="C32" i="4"/>
  <c r="K32" i="4" s="1"/>
  <c r="C24" i="4"/>
  <c r="C60" i="4"/>
  <c r="C34" i="4"/>
  <c r="K34" i="4" s="1"/>
  <c r="K23" i="4"/>
  <c r="J104" i="3"/>
  <c r="K104" i="3" s="1"/>
  <c r="M119" i="3"/>
  <c r="M126" i="3" s="1"/>
  <c r="M132" i="3" s="1"/>
  <c r="L133" i="3"/>
  <c r="L72" i="3"/>
  <c r="L73" i="3" s="1"/>
  <c r="M66" i="3"/>
  <c r="M62" i="3"/>
  <c r="M71" i="3" s="1"/>
  <c r="M65" i="3"/>
  <c r="N64" i="3"/>
  <c r="N61" i="3"/>
  <c r="N67" i="3"/>
  <c r="N68" i="3"/>
  <c r="P25" i="3"/>
  <c r="O48" i="3"/>
  <c r="O63" i="3" s="1"/>
  <c r="N21" i="3"/>
  <c r="N83" i="3"/>
  <c r="N213" i="3" s="1"/>
  <c r="N223" i="3" s="1"/>
  <c r="L106" i="3"/>
  <c r="L104" i="3"/>
  <c r="L107" i="3"/>
  <c r="P103" i="3"/>
  <c r="L103" i="3"/>
  <c r="M105" i="3"/>
  <c r="L105" i="3"/>
  <c r="M107" i="3"/>
  <c r="N105" i="3"/>
  <c r="N104" i="3"/>
  <c r="M106" i="3"/>
  <c r="M103" i="3"/>
  <c r="N103" i="3"/>
  <c r="O103" i="3"/>
  <c r="M104" i="3"/>
  <c r="N106" i="3"/>
  <c r="O107" i="3"/>
  <c r="N107" i="3"/>
  <c r="O105" i="3"/>
  <c r="P104" i="3"/>
  <c r="O104" i="3"/>
  <c r="O106" i="3"/>
  <c r="P106" i="3"/>
  <c r="P107" i="3"/>
  <c r="P105" i="3"/>
  <c r="P26" i="3"/>
  <c r="Q26" i="3" s="1"/>
  <c r="O7" i="3"/>
  <c r="O46" i="3" s="1"/>
  <c r="N10" i="3"/>
  <c r="N47" i="3" s="1"/>
  <c r="C71" i="4" l="1"/>
  <c r="K71" i="4" s="1"/>
  <c r="K60" i="4"/>
  <c r="C61" i="4"/>
  <c r="C35" i="4"/>
  <c r="K35" i="4" s="1"/>
  <c r="K24" i="4"/>
  <c r="C57" i="4"/>
  <c r="C31" i="4"/>
  <c r="K31" i="4" s="1"/>
  <c r="K20" i="4"/>
  <c r="K58" i="4"/>
  <c r="C69" i="4"/>
  <c r="K69" i="4" s="1"/>
  <c r="M72" i="3"/>
  <c r="M73" i="3" s="1"/>
  <c r="M76" i="3" s="1"/>
  <c r="M214" i="3" s="1"/>
  <c r="M224" i="3" s="1"/>
  <c r="L134" i="3"/>
  <c r="M131" i="3" s="1"/>
  <c r="M133" i="3" s="1"/>
  <c r="M134" i="3" s="1"/>
  <c r="N131" i="3" s="1"/>
  <c r="L148" i="3"/>
  <c r="L181" i="3"/>
  <c r="P48" i="3"/>
  <c r="P63" i="3" s="1"/>
  <c r="Q25" i="3"/>
  <c r="Q48" i="3" s="1"/>
  <c r="Q63" i="3" s="1"/>
  <c r="L76" i="3"/>
  <c r="L214" i="3" s="1"/>
  <c r="L224" i="3" s="1"/>
  <c r="J105" i="3"/>
  <c r="K105" i="3" s="1"/>
  <c r="N119" i="3"/>
  <c r="N126" i="3" s="1"/>
  <c r="N132" i="3" s="1"/>
  <c r="N66" i="3"/>
  <c r="N62" i="3"/>
  <c r="N71" i="3" s="1"/>
  <c r="N65" i="3"/>
  <c r="O68" i="3"/>
  <c r="O64" i="3"/>
  <c r="O61" i="3"/>
  <c r="O67" i="3"/>
  <c r="O21" i="3"/>
  <c r="O83" i="3"/>
  <c r="O213" i="3" s="1"/>
  <c r="O223" i="3" s="1"/>
  <c r="O111" i="3"/>
  <c r="O112" i="3" s="1"/>
  <c r="N111" i="3"/>
  <c r="N112" i="3" s="1"/>
  <c r="M111" i="3"/>
  <c r="M112" i="3" s="1"/>
  <c r="L111" i="3"/>
  <c r="L112" i="3" s="1"/>
  <c r="P111" i="3"/>
  <c r="P112" i="3" s="1"/>
  <c r="P7" i="3"/>
  <c r="Q7" i="3" s="1"/>
  <c r="O10" i="3"/>
  <c r="K57" i="4" l="1"/>
  <c r="C68" i="4"/>
  <c r="K68" i="4" s="1"/>
  <c r="K61" i="4"/>
  <c r="C72" i="4"/>
  <c r="K72" i="4" s="1"/>
  <c r="N72" i="3"/>
  <c r="N73" i="3" s="1"/>
  <c r="N76" i="3" s="1"/>
  <c r="N214" i="3" s="1"/>
  <c r="N224" i="3" s="1"/>
  <c r="M181" i="3"/>
  <c r="M148" i="3"/>
  <c r="Q10" i="3"/>
  <c r="Q47" i="3" s="1"/>
  <c r="Q21" i="3"/>
  <c r="Q83" i="3"/>
  <c r="Q46" i="3"/>
  <c r="P127" i="3"/>
  <c r="P147" i="3"/>
  <c r="P180" i="3"/>
  <c r="L127" i="3"/>
  <c r="L128" i="3" s="1"/>
  <c r="M125" i="3" s="1"/>
  <c r="L180" i="3"/>
  <c r="L147" i="3"/>
  <c r="O127" i="3"/>
  <c r="O147" i="3"/>
  <c r="O180" i="3"/>
  <c r="M127" i="3"/>
  <c r="M180" i="3"/>
  <c r="M147" i="3"/>
  <c r="N127" i="3"/>
  <c r="N147" i="3"/>
  <c r="N180" i="3"/>
  <c r="L29" i="3"/>
  <c r="L219" i="3" s="1"/>
  <c r="M29" i="3"/>
  <c r="N29" i="3"/>
  <c r="O29" i="3"/>
  <c r="O219" i="3" s="1"/>
  <c r="J106" i="3"/>
  <c r="K106" i="3" s="1"/>
  <c r="O119" i="3"/>
  <c r="O126" i="3" s="1"/>
  <c r="O132" i="3" s="1"/>
  <c r="N133" i="3"/>
  <c r="N134" i="3" s="1"/>
  <c r="O131" i="3" s="1"/>
  <c r="P29" i="3"/>
  <c r="P219" i="3" s="1"/>
  <c r="O47" i="3"/>
  <c r="P83" i="3"/>
  <c r="P213" i="3" s="1"/>
  <c r="P223" i="3" s="1"/>
  <c r="P46" i="3"/>
  <c r="P10" i="3"/>
  <c r="P47" i="3" s="1"/>
  <c r="P21" i="3"/>
  <c r="O22" i="3" l="1"/>
  <c r="O23" i="3" s="1"/>
  <c r="O27" i="3" s="1"/>
  <c r="O30" i="3" s="1"/>
  <c r="L22" i="3"/>
  <c r="L23" i="3" s="1"/>
  <c r="L27" i="3" s="1"/>
  <c r="L30" i="3" s="1"/>
  <c r="N22" i="3"/>
  <c r="N23" i="3" s="1"/>
  <c r="N27" i="3" s="1"/>
  <c r="N219" i="3"/>
  <c r="Q29" i="3"/>
  <c r="Q213" i="3"/>
  <c r="Q223" i="3" s="1"/>
  <c r="Q61" i="3"/>
  <c r="Q68" i="3"/>
  <c r="Q67" i="3"/>
  <c r="Q64" i="3"/>
  <c r="Q62" i="3"/>
  <c r="Q66" i="3"/>
  <c r="Q65" i="3"/>
  <c r="N181" i="3"/>
  <c r="N148" i="3"/>
  <c r="M22" i="3"/>
  <c r="M23" i="3" s="1"/>
  <c r="M27" i="3" s="1"/>
  <c r="M219" i="3"/>
  <c r="M128" i="3"/>
  <c r="N125" i="3" s="1"/>
  <c r="N128" i="3" s="1"/>
  <c r="O125" i="3" s="1"/>
  <c r="O128" i="3" s="1"/>
  <c r="P125" i="3" s="1"/>
  <c r="J107" i="3"/>
  <c r="K107" i="3" s="1"/>
  <c r="P119" i="3"/>
  <c r="P126" i="3" s="1"/>
  <c r="P132" i="3" s="1"/>
  <c r="O133" i="3"/>
  <c r="O134" i="3" s="1"/>
  <c r="P131" i="3" s="1"/>
  <c r="P66" i="3"/>
  <c r="P62" i="3"/>
  <c r="P65" i="3"/>
  <c r="P68" i="3"/>
  <c r="P64" i="3"/>
  <c r="P61" i="3"/>
  <c r="P67" i="3"/>
  <c r="O66" i="3"/>
  <c r="O62" i="3"/>
  <c r="O71" i="3" s="1"/>
  <c r="O65" i="3"/>
  <c r="P22" i="3"/>
  <c r="P23" i="3" s="1"/>
  <c r="P27" i="3" s="1"/>
  <c r="O72" i="3" l="1"/>
  <c r="O73" i="3" s="1"/>
  <c r="Q72" i="3"/>
  <c r="O211" i="3"/>
  <c r="L211" i="3"/>
  <c r="P71" i="3"/>
  <c r="Q71" i="3"/>
  <c r="O181" i="3"/>
  <c r="O148" i="3"/>
  <c r="O33" i="3"/>
  <c r="O139" i="3" s="1"/>
  <c r="O146" i="3" s="1"/>
  <c r="O173" i="3"/>
  <c r="O179" i="3" s="1"/>
  <c r="M30" i="3"/>
  <c r="M211" i="3"/>
  <c r="P30" i="3"/>
  <c r="P211" i="3"/>
  <c r="N30" i="3"/>
  <c r="N211" i="3"/>
  <c r="Q22" i="3"/>
  <c r="Q23" i="3" s="1"/>
  <c r="Q27" i="3" s="1"/>
  <c r="Q219" i="3"/>
  <c r="L33" i="3"/>
  <c r="L139" i="3" s="1"/>
  <c r="L146" i="3" s="1"/>
  <c r="L173" i="3"/>
  <c r="L179" i="3" s="1"/>
  <c r="P133" i="3"/>
  <c r="P134" i="3" s="1"/>
  <c r="P128" i="3"/>
  <c r="P72" i="3"/>
  <c r="Q73" i="3" l="1"/>
  <c r="P73" i="3"/>
  <c r="P181" i="3"/>
  <c r="P148" i="3"/>
  <c r="L192" i="3"/>
  <c r="L199" i="3"/>
  <c r="L182" i="3"/>
  <c r="P33" i="3"/>
  <c r="P139" i="3" s="1"/>
  <c r="P146" i="3" s="1"/>
  <c r="P173" i="3"/>
  <c r="P179" i="3" s="1"/>
  <c r="O192" i="3"/>
  <c r="O199" i="3"/>
  <c r="O182" i="3"/>
  <c r="L167" i="3"/>
  <c r="L149" i="3"/>
  <c r="L159" i="3"/>
  <c r="N33" i="3"/>
  <c r="N139" i="3" s="1"/>
  <c r="N146" i="3" s="1"/>
  <c r="N173" i="3"/>
  <c r="N179" i="3" s="1"/>
  <c r="O167" i="3"/>
  <c r="O159" i="3"/>
  <c r="O149" i="3"/>
  <c r="Q211" i="3"/>
  <c r="Q277" i="3" s="1"/>
  <c r="Q30" i="3"/>
  <c r="M33" i="3"/>
  <c r="M139" i="3" s="1"/>
  <c r="M146" i="3" s="1"/>
  <c r="M173" i="3"/>
  <c r="M179" i="3" s="1"/>
  <c r="O76" i="3"/>
  <c r="O214" i="3" s="1"/>
  <c r="O224" i="3" s="1"/>
  <c r="Q281" i="3" l="1"/>
  <c r="Q288" i="3" s="1"/>
  <c r="Q76" i="3"/>
  <c r="Q214" i="3" s="1"/>
  <c r="Q224" i="3" s="1"/>
  <c r="P76" i="3"/>
  <c r="P214" i="3" s="1"/>
  <c r="P224" i="3" s="1"/>
  <c r="O153" i="3"/>
  <c r="O140" i="3"/>
  <c r="N192" i="3"/>
  <c r="N199" i="3"/>
  <c r="N182" i="3"/>
  <c r="L153" i="3"/>
  <c r="L140" i="3"/>
  <c r="O186" i="3"/>
  <c r="O197" i="3" s="1"/>
  <c r="O174" i="3"/>
  <c r="O37" i="3"/>
  <c r="O39" i="3" s="1"/>
  <c r="O218" i="3" s="1"/>
  <c r="P167" i="3"/>
  <c r="P159" i="3"/>
  <c r="P149" i="3"/>
  <c r="L174" i="3"/>
  <c r="L186" i="3"/>
  <c r="N167" i="3"/>
  <c r="N159" i="3"/>
  <c r="N149" i="3"/>
  <c r="L37" i="3"/>
  <c r="L39" i="3" s="1"/>
  <c r="L218" i="3" s="1"/>
  <c r="P192" i="3"/>
  <c r="P199" i="3"/>
  <c r="P182" i="3"/>
  <c r="M199" i="3"/>
  <c r="M192" i="3"/>
  <c r="M182" i="3"/>
  <c r="M167" i="3"/>
  <c r="M149" i="3"/>
  <c r="M159" i="3"/>
  <c r="Q33" i="3"/>
  <c r="G206" i="3"/>
  <c r="Q206" i="3" s="1"/>
  <c r="Q212" i="3" s="1"/>
  <c r="Q295" i="3" l="1"/>
  <c r="P301" i="3" s="1"/>
  <c r="Q215" i="3"/>
  <c r="N153" i="3"/>
  <c r="N140" i="3"/>
  <c r="G207" i="3"/>
  <c r="Q207" i="3" s="1"/>
  <c r="Q208" i="3" s="1"/>
  <c r="Q222" i="3" s="1"/>
  <c r="Q35" i="3"/>
  <c r="Q37" i="3" s="1"/>
  <c r="Q39" i="3" s="1"/>
  <c r="Q218" i="3" s="1"/>
  <c r="M37" i="3"/>
  <c r="M39" i="3" s="1"/>
  <c r="M218" i="3" s="1"/>
  <c r="M174" i="3"/>
  <c r="M186" i="3"/>
  <c r="M197" i="3" s="1"/>
  <c r="N37" i="3"/>
  <c r="N39" i="3" s="1"/>
  <c r="N218" i="3" s="1"/>
  <c r="L160" i="3"/>
  <c r="N186" i="3"/>
  <c r="N197" i="3" s="1"/>
  <c r="N174" i="3"/>
  <c r="L197" i="3"/>
  <c r="L193" i="3"/>
  <c r="P153" i="3"/>
  <c r="P140" i="3"/>
  <c r="P37" i="3"/>
  <c r="P39" i="3" s="1"/>
  <c r="P218" i="3" s="1"/>
  <c r="M153" i="3"/>
  <c r="M140" i="3"/>
  <c r="O198" i="3"/>
  <c r="O206" i="3"/>
  <c r="O212" i="3" s="1"/>
  <c r="O215" i="3" s="1"/>
  <c r="P174" i="3"/>
  <c r="P186" i="3"/>
  <c r="P197" i="3" s="1"/>
  <c r="Q225" i="3" l="1"/>
  <c r="Q235" i="3" s="1"/>
  <c r="Q276" i="3" s="1"/>
  <c r="L161" i="3"/>
  <c r="M158" i="3" s="1"/>
  <c r="L154" i="3"/>
  <c r="L155" i="3" s="1"/>
  <c r="L165" i="3" s="1"/>
  <c r="L198" i="3"/>
  <c r="L206" i="3"/>
  <c r="N198" i="3"/>
  <c r="N206" i="3"/>
  <c r="N212" i="3" s="1"/>
  <c r="N215" i="3" s="1"/>
  <c r="M198" i="3"/>
  <c r="M206" i="3"/>
  <c r="L187" i="3"/>
  <c r="L188" i="3" s="1"/>
  <c r="L194" i="3"/>
  <c r="M191" i="3" s="1"/>
  <c r="P198" i="3"/>
  <c r="P206" i="3"/>
  <c r="Q280" i="3" l="1"/>
  <c r="P239" i="3"/>
  <c r="P246" i="3" s="1"/>
  <c r="P253" i="3" s="1"/>
  <c r="P259" i="3" s="1"/>
  <c r="P212" i="3"/>
  <c r="P215" i="3" s="1"/>
  <c r="M193" i="3"/>
  <c r="M194" i="3" s="1"/>
  <c r="N191" i="3" s="1"/>
  <c r="L207" i="3"/>
  <c r="L208" i="3" s="1"/>
  <c r="L222" i="3" s="1"/>
  <c r="L35" i="3"/>
  <c r="L166" i="3"/>
  <c r="M212" i="3"/>
  <c r="M215" i="3" s="1"/>
  <c r="L212" i="3"/>
  <c r="L215" i="3" s="1"/>
  <c r="M160" i="3"/>
  <c r="M154" i="3" s="1"/>
  <c r="M155" i="3" s="1"/>
  <c r="M165" i="3" s="1"/>
  <c r="Q287" i="3" l="1"/>
  <c r="Q294" i="3" s="1"/>
  <c r="Q282" i="3"/>
  <c r="M161" i="3"/>
  <c r="N158" i="3" s="1"/>
  <c r="N160" i="3" s="1"/>
  <c r="N154" i="3" s="1"/>
  <c r="N155" i="3" s="1"/>
  <c r="N165" i="3" s="1"/>
  <c r="N193" i="3"/>
  <c r="N187" i="3" s="1"/>
  <c r="N188" i="3" s="1"/>
  <c r="M35" i="3"/>
  <c r="M207" i="3"/>
  <c r="M208" i="3" s="1"/>
  <c r="M222" i="3" s="1"/>
  <c r="M166" i="3"/>
  <c r="L36" i="3"/>
  <c r="L220" i="3"/>
  <c r="L225" i="3" s="1"/>
  <c r="L235" i="3" s="1"/>
  <c r="L276" i="3" s="1"/>
  <c r="M187" i="3"/>
  <c r="M188" i="3" s="1"/>
  <c r="L238" i="3" l="1"/>
  <c r="L245" i="3" s="1"/>
  <c r="L247" i="3" s="1"/>
  <c r="L280" i="3"/>
  <c r="Q289" i="3"/>
  <c r="Q296" i="3" s="1"/>
  <c r="N161" i="3"/>
  <c r="O158" i="3" s="1"/>
  <c r="M36" i="3"/>
  <c r="M220" i="3"/>
  <c r="M225" i="3" s="1"/>
  <c r="M235" i="3" s="1"/>
  <c r="M276" i="3" s="1"/>
  <c r="N35" i="3"/>
  <c r="N207" i="3"/>
  <c r="N208" i="3" s="1"/>
  <c r="N222" i="3" s="1"/>
  <c r="N166" i="3"/>
  <c r="N194" i="3"/>
  <c r="O191" i="3" s="1"/>
  <c r="L252" i="3" l="1"/>
  <c r="L254" i="3" s="1"/>
  <c r="L240" i="3"/>
  <c r="M238" i="3"/>
  <c r="M245" i="3" s="1"/>
  <c r="M247" i="3" s="1"/>
  <c r="M280" i="3"/>
  <c r="L282" i="3"/>
  <c r="L287" i="3"/>
  <c r="L289" i="3" s="1"/>
  <c r="L294" i="3" s="1"/>
  <c r="O193" i="3"/>
  <c r="O187" i="3" s="1"/>
  <c r="O188" i="3" s="1"/>
  <c r="N36" i="3"/>
  <c r="N220" i="3"/>
  <c r="N225" i="3" s="1"/>
  <c r="N235" i="3" s="1"/>
  <c r="N276" i="3" s="1"/>
  <c r="O160" i="3"/>
  <c r="O154" i="3" s="1"/>
  <c r="O155" i="3" s="1"/>
  <c r="O165" i="3" s="1"/>
  <c r="M240" i="3" l="1"/>
  <c r="N238" i="3"/>
  <c r="N240" i="3" s="1"/>
  <c r="N280" i="3"/>
  <c r="M282" i="3"/>
  <c r="M287" i="3"/>
  <c r="M289" i="3" s="1"/>
  <c r="M294" i="3" s="1"/>
  <c r="M252" i="3"/>
  <c r="O194" i="3"/>
  <c r="P191" i="3" s="1"/>
  <c r="P193" i="3" s="1"/>
  <c r="P187" i="3" s="1"/>
  <c r="P188" i="3" s="1"/>
  <c r="O161" i="3"/>
  <c r="P158" i="3" s="1"/>
  <c r="P160" i="3" s="1"/>
  <c r="O35" i="3"/>
  <c r="O207" i="3"/>
  <c r="O208" i="3" s="1"/>
  <c r="O222" i="3" s="1"/>
  <c r="O166" i="3"/>
  <c r="N245" i="3" l="1"/>
  <c r="N247" i="3" s="1"/>
  <c r="N252" i="3" s="1"/>
  <c r="N254" i="3" s="1"/>
  <c r="M296" i="3"/>
  <c r="N282" i="3"/>
  <c r="N287" i="3"/>
  <c r="N289" i="3" s="1"/>
  <c r="N294" i="3" s="1"/>
  <c r="L296" i="3"/>
  <c r="M254" i="3"/>
  <c r="P154" i="3"/>
  <c r="P155" i="3" s="1"/>
  <c r="P165" i="3" s="1"/>
  <c r="P35" i="3" s="1"/>
  <c r="P161" i="3"/>
  <c r="U18" i="5" s="1"/>
  <c r="O36" i="3"/>
  <c r="O220" i="3"/>
  <c r="O225" i="3" s="1"/>
  <c r="O235" i="3" s="1"/>
  <c r="O276" i="3" s="1"/>
  <c r="P194" i="3"/>
  <c r="U19" i="5" l="1"/>
  <c r="D144" i="3"/>
  <c r="D177" i="3"/>
  <c r="N296" i="3"/>
  <c r="O238" i="3"/>
  <c r="O245" i="3" s="1"/>
  <c r="O247" i="3" s="1"/>
  <c r="O280" i="3"/>
  <c r="P166" i="3"/>
  <c r="P36" i="3" s="1"/>
  <c r="P207" i="3"/>
  <c r="P208" i="3" s="1"/>
  <c r="P222" i="3" s="1"/>
  <c r="O240" i="3" l="1"/>
  <c r="O282" i="3"/>
  <c r="O287" i="3"/>
  <c r="O289" i="3" s="1"/>
  <c r="O294" i="3" s="1"/>
  <c r="P220" i="3"/>
  <c r="P225" i="3" s="1"/>
  <c r="O252" i="3"/>
  <c r="P235" i="3" l="1"/>
  <c r="P276" i="3" s="1"/>
  <c r="U20" i="5"/>
  <c r="O254" i="3"/>
  <c r="P238" i="3" l="1"/>
  <c r="P240" i="3" s="1"/>
  <c r="O296" i="3"/>
  <c r="P245" i="3" l="1"/>
  <c r="P247" i="3" s="1"/>
  <c r="K259" i="3" s="1"/>
  <c r="C19" i="4" s="1"/>
  <c r="P252" i="3"/>
  <c r="P258" i="3" s="1"/>
  <c r="P260" i="3" s="1"/>
  <c r="P254" i="3" l="1"/>
  <c r="K258" i="3" s="1"/>
  <c r="F11" i="4" s="1"/>
  <c r="O259" i="3"/>
  <c r="O301" i="3"/>
  <c r="O258" i="3"/>
  <c r="O260" i="3"/>
  <c r="K264" i="3" l="1"/>
  <c r="K266" i="3" s="1"/>
  <c r="P264" i="3" s="1"/>
  <c r="P266" i="3" s="1"/>
  <c r="P280" i="3" s="1"/>
  <c r="C314" i="3"/>
  <c r="P282" i="3" l="1"/>
  <c r="P287" i="3"/>
  <c r="P294" i="3" l="1"/>
  <c r="P300" i="3" s="1"/>
  <c r="P289" i="3"/>
  <c r="K301" i="3" s="1"/>
  <c r="C56" i="4" s="1"/>
  <c r="P296" i="3" l="1"/>
  <c r="K300" i="3" s="1"/>
  <c r="F48" i="4" s="1"/>
  <c r="K314" i="3" l="1"/>
  <c r="K306" i="3"/>
  <c r="K308" i="3" s="1"/>
  <c r="P306" i="3" s="1"/>
  <c r="P308" i="3" s="1"/>
  <c r="O300" i="3"/>
  <c r="P302" i="3"/>
  <c r="O302" i="3" s="1"/>
  <c r="B31" i="7" l="1"/>
</calcChain>
</file>

<file path=xl/sharedStrings.xml><?xml version="1.0" encoding="utf-8"?>
<sst xmlns="http://schemas.openxmlformats.org/spreadsheetml/2006/main" count="758" uniqueCount="409">
  <si>
    <t>Revenue</t>
  </si>
  <si>
    <t>COGS</t>
  </si>
  <si>
    <t>Gross Profit</t>
  </si>
  <si>
    <t>EBIT / Operating Income</t>
  </si>
  <si>
    <t>EBITDA</t>
  </si>
  <si>
    <t>Pretax Income</t>
  </si>
  <si>
    <t>Taxes</t>
  </si>
  <si>
    <t>Net Income</t>
  </si>
  <si>
    <t>D&amp;A</t>
  </si>
  <si>
    <t>Income Statements</t>
    <phoneticPr fontId="1" type="noConversion"/>
  </si>
  <si>
    <t>Balance Sheet</t>
    <phoneticPr fontId="1" type="noConversion"/>
  </si>
  <si>
    <t>Cash &amp; Short-term Investments</t>
  </si>
  <si>
    <t>Accounts Receivable</t>
  </si>
  <si>
    <t>Inventory</t>
  </si>
  <si>
    <t>Other Current Assets</t>
  </si>
  <si>
    <t>Total Current Assets</t>
  </si>
  <si>
    <t>Long Term Assets</t>
    <phoneticPr fontId="1" type="noConversion"/>
  </si>
  <si>
    <t>Net PP&amp;E</t>
  </si>
  <si>
    <t>Long-term Investments</t>
  </si>
  <si>
    <t>Intangible Assets</t>
  </si>
  <si>
    <t>Total Assets</t>
  </si>
  <si>
    <t>Current Liability</t>
    <phoneticPr fontId="1" type="noConversion"/>
  </si>
  <si>
    <t>Short-term Debt</t>
  </si>
  <si>
    <t>Accounts Payable</t>
  </si>
  <si>
    <t>Accrued Payroll</t>
  </si>
  <si>
    <t>Deferred Revenue (Current)</t>
  </si>
  <si>
    <t>Other Current Liabilities</t>
  </si>
  <si>
    <t>Total Current Liabilities</t>
  </si>
  <si>
    <t>Long Term Liability</t>
    <phoneticPr fontId="1" type="noConversion"/>
  </si>
  <si>
    <t>Long-term Debt</t>
  </si>
  <si>
    <t>Total Debt</t>
  </si>
  <si>
    <t>Net Debt</t>
  </si>
  <si>
    <t>Equity</t>
    <phoneticPr fontId="1" type="noConversion"/>
  </si>
  <si>
    <t>Shareholders’ Equity</t>
  </si>
  <si>
    <t>CashFlow Statements</t>
    <phoneticPr fontId="1" type="noConversion"/>
  </si>
  <si>
    <t>Operating</t>
    <phoneticPr fontId="1" type="noConversion"/>
  </si>
  <si>
    <t>Cash from Operating Activities</t>
  </si>
  <si>
    <t>Funds from Operations</t>
  </si>
  <si>
    <t>Deferred Taxes</t>
  </si>
  <si>
    <t>Non-Cash Items</t>
  </si>
  <si>
    <t>Change in Working Capital</t>
  </si>
  <si>
    <t>Invetment/Financing</t>
    <phoneticPr fontId="1" type="noConversion"/>
  </si>
  <si>
    <t>Cash from Investing Activities</t>
  </si>
  <si>
    <t>CapEx</t>
  </si>
  <si>
    <t>Purchase/Sale of Investments</t>
  </si>
  <si>
    <t>Cash from Financing Activities</t>
  </si>
  <si>
    <t>Issuance/Retirement of Stock</t>
  </si>
  <si>
    <t>Issuance/Retirement of Debt</t>
  </si>
  <si>
    <t>Dividends Paid</t>
  </si>
  <si>
    <t>Free Cash Flow</t>
  </si>
  <si>
    <t>Change in A/R</t>
  </si>
  <si>
    <t>Change in A/P</t>
  </si>
  <si>
    <t>Change in Inventory</t>
  </si>
  <si>
    <t>Change in Other Assets/Liabilities</t>
  </si>
  <si>
    <t>Current Assets</t>
    <phoneticPr fontId="1" type="noConversion"/>
  </si>
  <si>
    <t>Working Capital Detail</t>
    <phoneticPr fontId="1" type="noConversion"/>
  </si>
  <si>
    <t>USD MM</t>
    <phoneticPr fontId="1" type="noConversion"/>
  </si>
  <si>
    <t>Operating Expenses/SG&amp;A</t>
    <phoneticPr fontId="1" type="noConversion"/>
  </si>
  <si>
    <t>Revenue Growth</t>
    <phoneticPr fontId="1" type="noConversion"/>
  </si>
  <si>
    <t>Inflation</t>
    <phoneticPr fontId="1" type="noConversion"/>
  </si>
  <si>
    <t>Best Case</t>
    <phoneticPr fontId="1" type="noConversion"/>
  </si>
  <si>
    <t>Base Case</t>
    <phoneticPr fontId="1" type="noConversion"/>
  </si>
  <si>
    <t>Worst Case</t>
    <phoneticPr fontId="1" type="noConversion"/>
  </si>
  <si>
    <t>Driver Switcher</t>
    <phoneticPr fontId="1" type="noConversion"/>
  </si>
  <si>
    <t>CapEx % of Revenue</t>
  </si>
  <si>
    <t>COGS % of Revenue</t>
    <phoneticPr fontId="1" type="noConversion"/>
  </si>
  <si>
    <t>WACC</t>
  </si>
  <si>
    <t>Tax Rate</t>
    <phoneticPr fontId="1" type="noConversion"/>
  </si>
  <si>
    <t>Days in Period</t>
  </si>
  <si>
    <t>Terms</t>
    <phoneticPr fontId="1" type="noConversion"/>
  </si>
  <si>
    <t>Revenue</t>
    <phoneticPr fontId="1" type="noConversion"/>
  </si>
  <si>
    <t xml:space="preserve">COGS </t>
    <phoneticPr fontId="1" type="noConversion"/>
  </si>
  <si>
    <t>SG&amp;A</t>
  </si>
  <si>
    <t>Other</t>
  </si>
  <si>
    <t>Depreciation</t>
  </si>
  <si>
    <t>EBIT</t>
  </si>
  <si>
    <t>Interest</t>
  </si>
  <si>
    <t>EBT</t>
  </si>
  <si>
    <t>Current Tax</t>
  </si>
  <si>
    <t>Deferred Tax</t>
  </si>
  <si>
    <t>Total Tax</t>
  </si>
  <si>
    <t>Working Capital Schedules</t>
    <phoneticPr fontId="1" type="noConversion"/>
  </si>
  <si>
    <t>Deperiation Schedules</t>
    <phoneticPr fontId="1" type="noConversion"/>
  </si>
  <si>
    <t xml:space="preserve">Capital Expenditure </t>
  </si>
  <si>
    <t>Years</t>
  </si>
  <si>
    <t>Percent of Full Year</t>
  </si>
  <si>
    <t>Useful Life: Existing Assets</t>
  </si>
  <si>
    <t>Useful Life: New Assets</t>
  </si>
  <si>
    <t>First Year Accounting Depreciation</t>
  </si>
  <si>
    <t>Year</t>
  </si>
  <si>
    <t>Life</t>
  </si>
  <si>
    <t>Amounts for Depreciation</t>
  </si>
  <si>
    <t>Capex</t>
  </si>
  <si>
    <t>Per Yr</t>
  </si>
  <si>
    <t>Existing Assets</t>
  </si>
  <si>
    <t>New Assets</t>
  </si>
  <si>
    <t>Total Depreciation</t>
  </si>
  <si>
    <t>Current Taxes</t>
    <phoneticPr fontId="1" type="noConversion"/>
  </si>
  <si>
    <t>Drivers</t>
    <phoneticPr fontId="1" type="noConversion"/>
  </si>
  <si>
    <t>Other inputs</t>
    <phoneticPr fontId="1" type="noConversion"/>
  </si>
  <si>
    <t>Projected Interest Expense</t>
  </si>
  <si>
    <t>First Year Tax Depreciation</t>
  </si>
  <si>
    <t>Blended Tax Depreciation Rate</t>
  </si>
  <si>
    <t>(Years)</t>
  </si>
  <si>
    <t>COGS with DA</t>
    <phoneticPr fontId="1" type="noConversion"/>
  </si>
  <si>
    <t>COGS less DA</t>
    <phoneticPr fontId="1" type="noConversion"/>
  </si>
  <si>
    <t>Income Tax (Current)</t>
  </si>
  <si>
    <t>Income Tax, Deferred</t>
  </si>
  <si>
    <t>(Days)</t>
  </si>
  <si>
    <t>TOTAL AMOUNTS</t>
  </si>
  <si>
    <t>NET WORKING CAPITAL</t>
  </si>
  <si>
    <t>Current Assets</t>
  </si>
  <si>
    <t>Current Liabilities</t>
  </si>
  <si>
    <t>Net Working Capital</t>
  </si>
  <si>
    <t>Cash from Working Capital Items</t>
  </si>
  <si>
    <t>Prepaid Expense</t>
    <phoneticPr fontId="1" type="noConversion"/>
  </si>
  <si>
    <t xml:space="preserve">prepaids </t>
  </si>
  <si>
    <t>other operating Assets</t>
    <phoneticPr fontId="1" type="noConversion"/>
  </si>
  <si>
    <t>prepaids % SG&amp;A</t>
    <phoneticPr fontId="1" type="noConversion"/>
  </si>
  <si>
    <t>other operating Assets &amp; Revenue</t>
  </si>
  <si>
    <t>other operating Assets &amp; Revenue</t>
    <phoneticPr fontId="1" type="noConversion"/>
  </si>
  <si>
    <t>Accrued Payroll % SG&amp;A</t>
  </si>
  <si>
    <t>Accrued Payroll % SG&amp;A</t>
    <phoneticPr fontId="1" type="noConversion"/>
  </si>
  <si>
    <t>Deferred Revenue (Current) % Revenue</t>
  </si>
  <si>
    <t>Deferred Revenue (Current) % Revenue</t>
    <phoneticPr fontId="1" type="noConversion"/>
  </si>
  <si>
    <t>Other Current Liabilities &amp; Revenue</t>
  </si>
  <si>
    <t>Other Current Liabilities &amp; Revenue</t>
    <phoneticPr fontId="1" type="noConversion"/>
  </si>
  <si>
    <t>SG&amp;A</t>
    <phoneticPr fontId="1" type="noConversion"/>
  </si>
  <si>
    <t>Assets Schedules</t>
    <phoneticPr fontId="1" type="noConversion"/>
  </si>
  <si>
    <t>Property Plant &amp; Equipment</t>
  </si>
  <si>
    <t>Tax Basis for PP&amp;E</t>
  </si>
  <si>
    <t>Tax Losses</t>
  </si>
  <si>
    <t>Capital Expenditure</t>
  </si>
  <si>
    <r>
      <t xml:space="preserve">PROPERTY PLANT &amp; EQUIPMENT </t>
    </r>
    <r>
      <rPr>
        <b/>
        <vertAlign val="superscript"/>
        <sz val="10"/>
        <rFont val="Open Sans"/>
        <family val="2"/>
      </rPr>
      <t>1</t>
    </r>
  </si>
  <si>
    <t>Beginning</t>
  </si>
  <si>
    <t>Accounting Depreciation</t>
  </si>
  <si>
    <t>Ending</t>
  </si>
  <si>
    <r>
      <t xml:space="preserve">TAX BASIS </t>
    </r>
    <r>
      <rPr>
        <b/>
        <vertAlign val="superscript"/>
        <sz val="10"/>
        <rFont val="Open Sans"/>
        <family val="2"/>
      </rPr>
      <t>1</t>
    </r>
  </si>
  <si>
    <t>Tax Depreciation</t>
  </si>
  <si>
    <t>Interest Expense</t>
  </si>
  <si>
    <t>Tax Rate</t>
  </si>
  <si>
    <t>Profitable Before Taxes?</t>
  </si>
  <si>
    <t>Unused Tax Losses Remaining?</t>
  </si>
  <si>
    <t>ADJUSTMENT FOR DEPRECIATION</t>
  </si>
  <si>
    <t>Add: Accounting Depreciation</t>
  </si>
  <si>
    <t>Less: Tax Depreciation</t>
  </si>
  <si>
    <t>EBIT After Adjustment</t>
  </si>
  <si>
    <r>
      <t xml:space="preserve">ADJUSTMENT FOR TAX LOSSES </t>
    </r>
    <r>
      <rPr>
        <b/>
        <vertAlign val="superscript"/>
        <sz val="10"/>
        <rFont val="Open Sans"/>
        <family val="2"/>
      </rPr>
      <t>1</t>
    </r>
  </si>
  <si>
    <r>
      <t xml:space="preserve">Less: Use of Tax Losses </t>
    </r>
    <r>
      <rPr>
        <vertAlign val="superscript"/>
        <sz val="9"/>
        <rFont val="Open Sans"/>
        <family val="2"/>
      </rPr>
      <t>2</t>
    </r>
  </si>
  <si>
    <t>Taxable Income</t>
  </si>
  <si>
    <t>TAX LOSSES</t>
  </si>
  <si>
    <t>Add: New Losses</t>
  </si>
  <si>
    <t>Less: Use of Tax Losses</t>
  </si>
  <si>
    <t>TAXES</t>
  </si>
  <si>
    <t>Current Taxes</t>
  </si>
  <si>
    <t>Total Taxes</t>
  </si>
  <si>
    <t>Income Tax Schedule (Unlevered)</t>
    <phoneticPr fontId="1" type="noConversion"/>
  </si>
  <si>
    <t>Income Tax Schedule (levered)</t>
    <phoneticPr fontId="1" type="noConversion"/>
  </si>
  <si>
    <t>Earnings Before Interest (EBT)</t>
    <phoneticPr fontId="1" type="noConversion"/>
  </si>
  <si>
    <t>EBT</t>
    <phoneticPr fontId="1" type="noConversion"/>
  </si>
  <si>
    <t>Earnings Before Interest (EBIT)</t>
    <phoneticPr fontId="1" type="noConversion"/>
  </si>
  <si>
    <t>EBIT</t>
    <phoneticPr fontId="1" type="noConversion"/>
  </si>
  <si>
    <t>EBT After Adjustment</t>
    <phoneticPr fontId="1" type="noConversion"/>
  </si>
  <si>
    <t>TAX SHIELD FROM INTEREST</t>
  </si>
  <si>
    <t>Line Item</t>
  </si>
  <si>
    <t>Term</t>
  </si>
  <si>
    <t>Current Taxes (Unlevered)</t>
  </si>
  <si>
    <t>Current Taxes (Levered)</t>
  </si>
  <si>
    <t>Total Tax Shield</t>
  </si>
  <si>
    <t>EBITDA METHOD</t>
  </si>
  <si>
    <t>Unlevered Free Cash Flow</t>
  </si>
  <si>
    <t>NET INCOME METHOD</t>
  </si>
  <si>
    <t>Tax Shield From Interest</t>
  </si>
  <si>
    <t>Unlevered Free Cash Flow Schedule</t>
    <phoneticPr fontId="1" type="noConversion"/>
  </si>
  <si>
    <t>Term</t>
    <phoneticPr fontId="1" type="noConversion"/>
  </si>
  <si>
    <t>End of 2025 Balances</t>
    <phoneticPr fontId="1" type="noConversion"/>
  </si>
  <si>
    <t>Valuation Date</t>
  </si>
  <si>
    <t>(YY-MM-DD)</t>
  </si>
  <si>
    <t>First Expected Cash Flow</t>
  </si>
  <si>
    <t>First Fiscal Year End for Forecast</t>
  </si>
  <si>
    <t>First Year of Forecast</t>
  </si>
  <si>
    <t>(YYYY)</t>
  </si>
  <si>
    <t>Incorrect Date Set for Valuation?</t>
  </si>
  <si>
    <t>Incorrect Date Set for First Cash Flow?</t>
  </si>
  <si>
    <t>Valuation</t>
  </si>
  <si>
    <t>Discrete Forecast</t>
  </si>
  <si>
    <t>Terminal Growth</t>
  </si>
  <si>
    <t>Fiscal Year End</t>
  </si>
  <si>
    <t>Cash Flow Timing</t>
  </si>
  <si>
    <t>UNADJUSTED CASH FLOW</t>
  </si>
  <si>
    <t>Terminal Value</t>
  </si>
  <si>
    <t>Total Cash Flow</t>
  </si>
  <si>
    <t>ADJUSTED CASH FLOW</t>
  </si>
  <si>
    <t>Partial Period Adjustment</t>
  </si>
  <si>
    <t>DISCOUNTED CASH FLOW</t>
  </si>
  <si>
    <t>Years for Discounting</t>
  </si>
  <si>
    <t>ENTERPRISE VALUE</t>
  </si>
  <si>
    <t>Manual Method</t>
  </si>
  <si>
    <t>PV of Discrete</t>
  </si>
  <si>
    <r>
      <t xml:space="preserve">XNPV Function </t>
    </r>
    <r>
      <rPr>
        <vertAlign val="superscript"/>
        <sz val="9"/>
        <color rgb="FF000000"/>
        <rFont val="Open Sans"/>
        <family val="2"/>
      </rPr>
      <t>1</t>
    </r>
  </si>
  <si>
    <t>PV of Terminal</t>
  </si>
  <si>
    <t>Enterprise Value</t>
  </si>
  <si>
    <t>EQUITY VALUE</t>
  </si>
  <si>
    <t>EQUITY VALUE PER SHARE</t>
  </si>
  <si>
    <t>Equity Value</t>
  </si>
  <si>
    <t>Less: Net Debt</t>
  </si>
  <si>
    <t>Shares Outstanding</t>
  </si>
  <si>
    <t>($/sh)</t>
  </si>
  <si>
    <t>Weighted Average Cost of Capital</t>
  </si>
  <si>
    <t>Average</t>
  </si>
  <si>
    <t>Debt/</t>
  </si>
  <si>
    <t>Levered</t>
  </si>
  <si>
    <t>Unlevered</t>
  </si>
  <si>
    <t>Name</t>
  </si>
  <si>
    <t>Region</t>
  </si>
  <si>
    <t>Debt</t>
  </si>
  <si>
    <t>Equity</t>
  </si>
  <si>
    <r>
      <t xml:space="preserve">Tax Rate </t>
    </r>
    <r>
      <rPr>
        <b/>
        <vertAlign val="superscript"/>
        <sz val="10"/>
        <color theme="1"/>
        <rFont val="Open Sans"/>
        <family val="2"/>
      </rPr>
      <t>1</t>
    </r>
  </si>
  <si>
    <t>Capital</t>
  </si>
  <si>
    <r>
      <t xml:space="preserve">Beta </t>
    </r>
    <r>
      <rPr>
        <b/>
        <vertAlign val="superscript"/>
        <sz val="10"/>
        <color theme="1"/>
        <rFont val="Open Sans"/>
        <family val="2"/>
      </rPr>
      <t>2</t>
    </r>
  </si>
  <si>
    <r>
      <t xml:space="preserve">Beta </t>
    </r>
    <r>
      <rPr>
        <b/>
        <vertAlign val="superscript"/>
        <sz val="10"/>
        <color theme="1"/>
        <rFont val="Open Sans"/>
        <family val="2"/>
      </rPr>
      <t>3</t>
    </r>
  </si>
  <si>
    <t>Median</t>
  </si>
  <si>
    <t>Cost of Equity</t>
  </si>
  <si>
    <t>Market Risk Premium</t>
  </si>
  <si>
    <t>Risk Free Rate</t>
  </si>
  <si>
    <t>Average Unlevered Beta</t>
  </si>
  <si>
    <t>Equity Risk Premium</t>
  </si>
  <si>
    <r>
      <t xml:space="preserve">Levered Beta </t>
    </r>
    <r>
      <rPr>
        <vertAlign val="superscript"/>
        <sz val="10"/>
        <color rgb="FF000000"/>
        <rFont val="Open Sans"/>
        <family val="2"/>
      </rPr>
      <t>4</t>
    </r>
  </si>
  <si>
    <t>Country Risk Premium</t>
  </si>
  <si>
    <t>Capital Structure</t>
  </si>
  <si>
    <t>Cost of Debt</t>
  </si>
  <si>
    <t>Current</t>
  </si>
  <si>
    <t>Target</t>
  </si>
  <si>
    <t>Market Capitalization</t>
  </si>
  <si>
    <t>After-Tax Cost of Debt</t>
  </si>
  <si>
    <t>Total Capitalization</t>
  </si>
  <si>
    <t>Debt / Equity</t>
  </si>
  <si>
    <t>Weight</t>
  </si>
  <si>
    <t>Cost</t>
  </si>
  <si>
    <t xml:space="preserve">Tax Rate is a 5-Year Average. </t>
  </si>
  <si>
    <t>Debt Capital</t>
  </si>
  <si>
    <t xml:space="preserve">Levered beta is based on 5-year monthly data. </t>
  </si>
  <si>
    <t>Equity Capital</t>
  </si>
  <si>
    <t xml:space="preserve">Unlevered Beta = Levered Beta / (1 + (1 - Tax Rate) × Debt-to-Equity) </t>
  </si>
  <si>
    <t xml:space="preserve">Levered Beta = Unlevered Beta x (1 + (1 - Tax rate) x (Debt-to-Equity)) </t>
  </si>
  <si>
    <t>Weighted Average Cost of Capital</t>
    <phoneticPr fontId="1" type="noConversion"/>
  </si>
  <si>
    <t>Discounted Cash Flow Schedule: Perpetuity Method</t>
    <phoneticPr fontId="1" type="noConversion"/>
  </si>
  <si>
    <t>U.S.</t>
    <phoneticPr fontId="1" type="noConversion"/>
  </si>
  <si>
    <t>Dates</t>
    <phoneticPr fontId="1" type="noConversion"/>
  </si>
  <si>
    <t>Risk Premium for Equity</t>
    <phoneticPr fontId="1" type="noConversion"/>
  </si>
  <si>
    <t>* Small difference because of the yearfrac formula</t>
    <phoneticPr fontId="1" type="noConversion"/>
  </si>
  <si>
    <t>Ticker</t>
    <phoneticPr fontId="1" type="noConversion"/>
  </si>
  <si>
    <t>ARHS</t>
  </si>
  <si>
    <t>Arhaus</t>
  </si>
  <si>
    <t>Williams-Sonoma</t>
  </si>
  <si>
    <t>WSM</t>
  </si>
  <si>
    <t>Ethan Allen Interiors</t>
  </si>
  <si>
    <t>ETD</t>
  </si>
  <si>
    <t>La-Z-Boy</t>
  </si>
  <si>
    <t>LZB</t>
  </si>
  <si>
    <t>Haverty Furniture</t>
  </si>
  <si>
    <t>HVT</t>
  </si>
  <si>
    <t>MillerKnoll</t>
  </si>
  <si>
    <t>MLKN</t>
  </si>
  <si>
    <t>Hooker Furnishings</t>
  </si>
  <si>
    <t>HOFT</t>
  </si>
  <si>
    <t>Leggett &amp; Platt</t>
  </si>
  <si>
    <t>LEG</t>
  </si>
  <si>
    <t>Bassett Furniture Industries</t>
  </si>
  <si>
    <t>BSET</t>
  </si>
  <si>
    <t>Pre-Tax Cost of Debt</t>
    <phoneticPr fontId="1" type="noConversion"/>
  </si>
  <si>
    <t>Current Stock Price</t>
  </si>
  <si>
    <t>(US$/sh)</t>
  </si>
  <si>
    <t>Terminal Growth Rate</t>
  </si>
  <si>
    <r>
      <t xml:space="preserve">Terminal EBITDA Multiple </t>
    </r>
    <r>
      <rPr>
        <vertAlign val="superscript"/>
        <sz val="10"/>
        <color theme="1"/>
        <rFont val="Open Sans"/>
        <family val="2"/>
      </rPr>
      <t>1</t>
    </r>
  </si>
  <si>
    <t>Weighted Average Cost of Capital (WACC)</t>
  </si>
  <si>
    <t>Terminal Growth Greater Than or Equal To WACC?</t>
  </si>
  <si>
    <t>Valuation</t>
    <phoneticPr fontId="1" type="noConversion"/>
  </si>
  <si>
    <t>All figures in USD MM unless stated</t>
  </si>
  <si>
    <t>Discounted Cash Flow Schedule: Multiple Method</t>
    <phoneticPr fontId="1" type="noConversion"/>
  </si>
  <si>
    <t>Terminal Multiple</t>
    <phoneticPr fontId="1" type="noConversion"/>
  </si>
  <si>
    <t>EBITDA</t>
    <phoneticPr fontId="1" type="noConversion"/>
  </si>
  <si>
    <t>Terminal</t>
  </si>
  <si>
    <t>Adjustment</t>
  </si>
  <si>
    <t xml:space="preserve"> </t>
  </si>
  <si>
    <t>Model Drivers Set To</t>
  </si>
  <si>
    <t>Enterprise</t>
  </si>
  <si>
    <t>Value</t>
  </si>
  <si>
    <t>Per Share</t>
  </si>
  <si>
    <t>Best Case</t>
  </si>
  <si>
    <t>Base Case</t>
  </si>
  <si>
    <t>Worst Case</t>
  </si>
  <si>
    <t xml:space="preserve">These tables require the workbook calculation to be set to automatic to update. </t>
  </si>
  <si>
    <t>Dashboard: Perpetuity Method</t>
    <phoneticPr fontId="1" type="noConversion"/>
  </si>
  <si>
    <t>Terminal Multiple</t>
  </si>
  <si>
    <t>Dashboard: Multiple Method</t>
    <phoneticPr fontId="1" type="noConversion"/>
  </si>
  <si>
    <t>(End of 2025)</t>
    <phoneticPr fontId="1" type="noConversion"/>
  </si>
  <si>
    <r>
      <t xml:space="preserve">Main Outputs </t>
    </r>
    <r>
      <rPr>
        <b/>
        <vertAlign val="superscript"/>
        <sz val="10"/>
        <color theme="1"/>
        <rFont val="Open Sans"/>
        <family val="2"/>
      </rPr>
      <t>1</t>
    </r>
    <phoneticPr fontId="1" type="noConversion"/>
  </si>
  <si>
    <t>Selected Inputs</t>
    <phoneticPr fontId="1" type="noConversion"/>
  </si>
  <si>
    <r>
      <t xml:space="preserve">Enterprise Value </t>
    </r>
    <r>
      <rPr>
        <b/>
        <vertAlign val="superscript"/>
        <sz val="10"/>
        <color theme="1"/>
        <rFont val="Open Sans"/>
        <family val="2"/>
      </rPr>
      <t>1</t>
    </r>
    <phoneticPr fontId="1" type="noConversion"/>
  </si>
  <si>
    <t>Equity Value per Share</t>
    <phoneticPr fontId="1" type="noConversion"/>
  </si>
  <si>
    <t>Equity Value</t>
    <phoneticPr fontId="1" type="noConversion"/>
  </si>
  <si>
    <t>Premium (Discount) to Stock Price</t>
    <phoneticPr fontId="1" type="noConversion"/>
  </si>
  <si>
    <t>Main Outputs 1</t>
    <phoneticPr fontId="1" type="noConversion"/>
  </si>
  <si>
    <r>
      <t xml:space="preserve">Main Outputs </t>
    </r>
    <r>
      <rPr>
        <b/>
        <vertAlign val="superscript"/>
        <sz val="10"/>
        <color theme="1"/>
        <rFont val="Open Sans"/>
        <family val="2"/>
      </rPr>
      <t>2</t>
    </r>
    <phoneticPr fontId="1" type="noConversion"/>
  </si>
  <si>
    <r>
      <t xml:space="preserve">Enterprise Value </t>
    </r>
    <r>
      <rPr>
        <b/>
        <vertAlign val="superscript"/>
        <sz val="10"/>
        <color theme="1"/>
        <rFont val="Open Sans"/>
        <family val="2"/>
      </rPr>
      <t>2</t>
    </r>
    <phoneticPr fontId="1" type="noConversion"/>
  </si>
  <si>
    <t>(mm)</t>
    <phoneticPr fontId="1" type="noConversion"/>
  </si>
  <si>
    <t>Comparable Trading Analysis</t>
  </si>
  <si>
    <t>Share</t>
  </si>
  <si>
    <t xml:space="preserve">EV / </t>
  </si>
  <si>
    <t>Peer Companies</t>
  </si>
  <si>
    <t>Ticker</t>
  </si>
  <si>
    <t>Price</t>
  </si>
  <si>
    <t>EBITDA Growth</t>
  </si>
  <si>
    <t>EPS</t>
  </si>
  <si>
    <t>P / E</t>
  </si>
  <si>
    <t>(USD/sh)</t>
  </si>
  <si>
    <t>(LTM)</t>
  </si>
  <si>
    <t>(FY+1)</t>
  </si>
  <si>
    <t>(FY+2)</t>
  </si>
  <si>
    <r>
      <t xml:space="preserve">Target Company Valuation </t>
    </r>
    <r>
      <rPr>
        <b/>
        <vertAlign val="superscript"/>
        <sz val="10"/>
        <color rgb="FF000000"/>
        <rFont val="Open Sans"/>
        <family val="2"/>
      </rPr>
      <t>1, 2</t>
    </r>
  </si>
  <si>
    <t>Maximum</t>
  </si>
  <si>
    <t>Minimum</t>
  </si>
  <si>
    <t xml:space="preserve">Target company valuation based on LTM EV/EBITDA multiple. </t>
  </si>
  <si>
    <t>All figures in USD mm unless stated</t>
  </si>
  <si>
    <t>All figures in USD mm unless stated</t>
    <phoneticPr fontId="1" type="noConversion"/>
  </si>
  <si>
    <t>La-Z-Boy</t>
    <phoneticPr fontId="1" type="noConversion"/>
  </si>
  <si>
    <t>Summary results above exclude La-Z-Boy</t>
    <phoneticPr fontId="1" type="noConversion"/>
  </si>
  <si>
    <t>Comparable Trading Analysis</t>
    <phoneticPr fontId="1" type="noConversion"/>
  </si>
  <si>
    <t>Target Company Valuation</t>
    <phoneticPr fontId="1" type="noConversion"/>
  </si>
  <si>
    <t>Precedent Transaction Analysis</t>
  </si>
  <si>
    <t>Offer</t>
  </si>
  <si>
    <t>Premium</t>
  </si>
  <si>
    <t>Transaction</t>
  </si>
  <si>
    <t>Paid</t>
  </si>
  <si>
    <t>Type</t>
  </si>
  <si>
    <t>(YYYY-MM-DD)</t>
  </si>
  <si>
    <t>Hellman &amp; Friedman</t>
  </si>
  <si>
    <t>At Home Group Inc.</t>
  </si>
  <si>
    <t>2021-05-06 1</t>
  </si>
  <si>
    <t>Apollo Global Management</t>
  </si>
  <si>
    <t>The Michaels Companies, Inc.</t>
  </si>
  <si>
    <t>2021-03-03 2</t>
  </si>
  <si>
    <t>Steinhoff International Holdings N.V.</t>
  </si>
  <si>
    <t>Mattress Firm Holding Corp.</t>
  </si>
  <si>
    <t>2016-08-08 3</t>
  </si>
  <si>
    <t>HNI Corporation</t>
  </si>
  <si>
    <t>Kimball International, Inc.</t>
  </si>
  <si>
    <t>2023-03-08 6</t>
  </si>
  <si>
    <t>Lowe’s Companies, Inc.</t>
  </si>
  <si>
    <t>RONA inc.</t>
  </si>
  <si>
    <t>2016-02-03 8</t>
  </si>
  <si>
    <t xml:space="preserve">Cash </t>
    <phoneticPr fontId="1" type="noConversion"/>
  </si>
  <si>
    <t>Mixed</t>
    <phoneticPr fontId="1" type="noConversion"/>
  </si>
  <si>
    <t>Cash</t>
    <phoneticPr fontId="1" type="noConversion"/>
  </si>
  <si>
    <t>Precedent Transaction Analysis</t>
    <phoneticPr fontId="1" type="noConversion"/>
  </si>
  <si>
    <t>Company Information</t>
  </si>
  <si>
    <t>Company Name</t>
  </si>
  <si>
    <t>Recommendation</t>
  </si>
  <si>
    <t>Target Price</t>
  </si>
  <si>
    <t>Low</t>
  </si>
  <si>
    <t>Delta</t>
  </si>
  <si>
    <t>High</t>
  </si>
  <si>
    <t>52-Week Trading</t>
  </si>
  <si>
    <t>Consensus Research</t>
  </si>
  <si>
    <t>Valuation Summary: Football Field Chart</t>
  </si>
  <si>
    <t>RH</t>
    <phoneticPr fontId="1" type="noConversion"/>
  </si>
  <si>
    <t>Value</t>
    <phoneticPr fontId="1" type="noConversion"/>
  </si>
  <si>
    <t>Mid</t>
  </si>
  <si>
    <t>DCF Valuation Analysis</t>
  </si>
  <si>
    <t>Projected Business Performance</t>
    <phoneticPr fontId="1" type="noConversion"/>
  </si>
  <si>
    <t>Data: Company Overview</t>
    <phoneticPr fontId="1" type="noConversion"/>
  </si>
  <si>
    <t>Valuation Graphing Data</t>
    <phoneticPr fontId="1" type="noConversion"/>
  </si>
  <si>
    <t>Revenue/COGOS Schedules</t>
    <phoneticPr fontId="1" type="noConversion"/>
  </si>
  <si>
    <t>Depreciation</t>
    <phoneticPr fontId="1" type="noConversion"/>
  </si>
  <si>
    <t>Deferred Tax</t>
    <phoneticPr fontId="1" type="noConversion"/>
  </si>
  <si>
    <t>AMOUNTS PER DAY</t>
    <phoneticPr fontId="1" type="noConversion"/>
  </si>
  <si>
    <t>EXISTING ASSET DEPRECIATION</t>
    <phoneticPr fontId="1" type="noConversion"/>
  </si>
  <si>
    <t>NEW ASSET DEPRECIATION</t>
    <phoneticPr fontId="1" type="noConversion"/>
  </si>
  <si>
    <t>TOTAL ASSET DEPRECIATION</t>
    <phoneticPr fontId="1" type="noConversion"/>
  </si>
  <si>
    <t>Announcement Date</t>
    <phoneticPr fontId="1" type="noConversion"/>
  </si>
  <si>
    <t>Acquirer</t>
    <phoneticPr fontId="1" type="noConversion"/>
  </si>
  <si>
    <t>Target</t>
    <phoneticPr fontId="1" type="noConversion"/>
  </si>
  <si>
    <t>(LTM)</t>
    <phoneticPr fontId="1" type="noConversion"/>
  </si>
  <si>
    <r>
      <t xml:space="preserve">Target Company Valuation </t>
    </r>
    <r>
      <rPr>
        <b/>
        <vertAlign val="superscript"/>
        <sz val="10"/>
        <color rgb="FF000000"/>
        <rFont val="Open Sans"/>
        <family val="2"/>
      </rPr>
      <t>1</t>
    </r>
    <phoneticPr fontId="1" type="noConversion"/>
  </si>
  <si>
    <t>Hold</t>
    <phoneticPr fontId="1" type="noConversion"/>
  </si>
  <si>
    <t>Working Capital</t>
    <phoneticPr fontId="1" type="noConversion"/>
  </si>
  <si>
    <t>Valuation Analysis Report</t>
    <phoneticPr fontId="1" type="noConversion"/>
  </si>
  <si>
    <t>DCF Anlysis | Comparable Companies | Precendent Transactions</t>
    <phoneticPr fontId="1" type="noConversion"/>
  </si>
  <si>
    <t>Table of Contents</t>
    <phoneticPr fontId="1" type="noConversion"/>
  </si>
  <si>
    <t>Disclamer</t>
    <phoneticPr fontId="1" type="noConversion"/>
  </si>
  <si>
    <t>Model Checks</t>
    <phoneticPr fontId="1" type="noConversion"/>
  </si>
  <si>
    <t>Confidential | For Internal Use Only</t>
    <phoneticPr fontId="1" type="noConversion"/>
  </si>
  <si>
    <t>Dashboard</t>
    <phoneticPr fontId="1" type="noConversion"/>
  </si>
  <si>
    <t>Sensitivity Analysis</t>
    <phoneticPr fontId="1" type="noConversion"/>
  </si>
  <si>
    <t>Input</t>
    <phoneticPr fontId="1" type="noConversion"/>
  </si>
  <si>
    <t>DCF Model</t>
    <phoneticPr fontId="1" type="noConversion"/>
  </si>
  <si>
    <t>Comparable Anlysis</t>
    <phoneticPr fontId="1" type="noConversion"/>
  </si>
  <si>
    <t>Precendent Transactions</t>
    <phoneticPr fontId="1" type="noConversion"/>
  </si>
  <si>
    <r>
      <rPr>
        <b/>
        <sz val="13"/>
        <color theme="1"/>
        <rFont val="Open sans"/>
        <family val="2"/>
      </rPr>
      <t>Targeted Company:</t>
    </r>
    <r>
      <rPr>
        <sz val="13"/>
        <color theme="1"/>
        <rFont val="Open sans"/>
        <family val="2"/>
      </rPr>
      <t xml:space="preserve"> RH</t>
    </r>
    <phoneticPr fontId="1" type="noConversion"/>
  </si>
  <si>
    <r>
      <rPr>
        <b/>
        <sz val="13"/>
        <color theme="1"/>
        <rFont val="Open sans"/>
        <family val="2"/>
      </rPr>
      <t>Prepared By:</t>
    </r>
    <r>
      <rPr>
        <sz val="13"/>
        <color theme="1"/>
        <rFont val="Open sans"/>
        <family val="2"/>
      </rPr>
      <t xml:space="preserve"> Frey Guo</t>
    </r>
    <phoneticPr fontId="1" type="noConversion"/>
  </si>
  <si>
    <r>
      <rPr>
        <b/>
        <sz val="13"/>
        <color theme="1"/>
        <rFont val="Open sans"/>
        <family val="2"/>
      </rPr>
      <t>Date:</t>
    </r>
    <r>
      <rPr>
        <sz val="13"/>
        <color theme="1"/>
        <rFont val="Open sans"/>
        <family val="2"/>
      </rPr>
      <t xml:space="preserve"> May 2026</t>
    </r>
    <phoneticPr fontId="1" type="noConversion"/>
  </si>
  <si>
    <r>
      <rPr>
        <b/>
        <sz val="13"/>
        <color theme="1"/>
        <rFont val="Open sans"/>
        <family val="2"/>
      </rPr>
      <t>Version:</t>
    </r>
    <r>
      <rPr>
        <sz val="13"/>
        <color theme="1"/>
        <rFont val="Open sans"/>
        <family val="2"/>
      </rPr>
      <t xml:space="preserve"> 1.0</t>
    </r>
    <phoneticPr fontId="1" type="noConversion"/>
  </si>
  <si>
    <t>Terminal Growth Rate Greater Than or Equal To WACC?</t>
  </si>
  <si>
    <t>Unused Tax Losses Remaining? (Levered Schedule)</t>
  </si>
  <si>
    <t>Unused Tax Losses Remaining? (Unlevered Schedule)</t>
  </si>
  <si>
    <t>Two UFCF Methods Different?</t>
  </si>
  <si>
    <t>This valuation analysis has been prepared solely for career, academic, and internal discussion purposes. The information contained herein is based on publicly available data and assumptions believed to be reasonable at the time of preparation. This report does not constitute investment advice, a recommendation, or an offer to buy or sell any security. Actual results may differ materially from the estimates and projections presented.</t>
    <phoneticPr fontId="1" type="noConversion"/>
  </si>
  <si>
    <t>RH Fiancial Report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</si>
</sst>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3" formatCode="_ * #,##0.00_ ;_ * \-#,##0.00_ ;_ * &quot;-&quot;??_ ;_ @_ "/>
    <numFmt numFmtId="26" formatCode="\$#,##0.00_);[Red]\(\$#,##0.00\)"/>
    <numFmt numFmtId="176" formatCode="_(#,##0_);\(#,##0\);_(&quot;–&quot;_);_(@_)"/>
    <numFmt numFmtId="177" formatCode="0&quot;A&quot;"/>
    <numFmt numFmtId="178" formatCode="_(#,##0_)_%;\(#,##0\)_%;_(&quot;–&quot;_)_%;_(@_)_%"/>
    <numFmt numFmtId="179" formatCode="#,##0_);\(#,##0\);\-"/>
    <numFmt numFmtId="180" formatCode="_(#,##0.0%_);\(#,##0.0%\);_(&quot;–&quot;_)_%;_(@_)_%"/>
    <numFmt numFmtId="181" formatCode="0.0%"/>
    <numFmt numFmtId="182" formatCode="_(#,##0.00_);\(#,##0.00\);_(&quot;–&quot;_);_(@_)"/>
    <numFmt numFmtId="183" formatCode="General&quot;A&quot;"/>
    <numFmt numFmtId="184" formatCode="General&quot;E&quot;"/>
    <numFmt numFmtId="185" formatCode="0&quot;F&quot;"/>
    <numFmt numFmtId="186" formatCode="&quot;Yr&quot;\ 0_)"/>
    <numFmt numFmtId="187" formatCode="_(#,##0%_);\(#,##0%\);_(&quot;–&quot;_)_%;_(@_)_%"/>
    <numFmt numFmtId="188" formatCode="0&quot;F&quot;\ "/>
    <numFmt numFmtId="189" formatCode="#,##0.00_);\(#,##0.00\);\-"/>
    <numFmt numFmtId="190" formatCode="_-* #,##0.00_-;\-* #,##0.00_-;_-* &quot;-&quot;??_-;_-@_-"/>
    <numFmt numFmtId="191" formatCode="_-* #,##0_-;\(#,##0\)_-;_-* &quot;-&quot;_-;_-@_-"/>
    <numFmt numFmtId="192" formatCode="#,##0.0_);\(#,##0.0\);\-"/>
    <numFmt numFmtId="193" formatCode="_-* #,##0_-;\-* #,##0_-;_-* &quot;-&quot;??_-;_-@_-"/>
    <numFmt numFmtId="194" formatCode="0&quot;E&quot;"/>
    <numFmt numFmtId="195" formatCode="[=1]&quot;Yes&quot;_);[=0]&quot;No&quot;_)"/>
    <numFmt numFmtId="196" formatCode="&quot;Yes&quot;;&quot;ERROR&quot;;&quot;No&quot;;&quot;ERROR&quot;"/>
    <numFmt numFmtId="197" formatCode="yyyy/mm/dd_)"/>
    <numFmt numFmtId="198" formatCode="0000_)"/>
    <numFmt numFmtId="199" formatCode="&quot;Yes&quot;_);&quot;ERROR&quot;_);&quot;No&quot;_);&quot;ERROR&quot;_)"/>
    <numFmt numFmtId="200" formatCode="yy/mm/dd"/>
    <numFmt numFmtId="201" formatCode="_(0.0000\x_);\(0.0000\x\);_(&quot;–&quot;_);_(@_)"/>
    <numFmt numFmtId="202" formatCode="[=1]&quot;☑️&quot;_);[=0]&quot;⬜&quot;_)"/>
    <numFmt numFmtId="203" formatCode="_(#,##0_)\⁽\¹\⁾;\(#,##0\)\⁽\¹\⁾;_(&quot;–&quot;_)\⁽\¹\⁾;_(@_)\⁽\¹\⁾"/>
    <numFmt numFmtId="204" formatCode="@\⁽\¹\⁾"/>
    <numFmt numFmtId="205" formatCode="@\⁽\²\⁾"/>
    <numFmt numFmtId="206" formatCode="@\⁽\³\⁾"/>
    <numFmt numFmtId="207" formatCode="@\⁽\⁴\⁾"/>
    <numFmt numFmtId="208" formatCode="_(0.0\x_);\(0.0\x\);_(&quot;–&quot;_);_(@_)"/>
    <numFmt numFmtId="209" formatCode="[=0]&quot;No_)&quot;;[=1]&quot;Yes&quot;_)"/>
    <numFmt numFmtId="210" formatCode="0.00\⁽\⁶\⁾"/>
    <numFmt numFmtId="211" formatCode="_(#,##0%_);\(#,##0%\);_(&quot;–&quot;_);_(@_)"/>
    <numFmt numFmtId="212" formatCode="0.0\x"/>
    <numFmt numFmtId="213" formatCode="yyyy\-mm\-dd;@"/>
    <numFmt numFmtId="214" formatCode="_(#,##0.0%_);\(#,##0.0%\);_(&quot;–&quot;_);_(@_)"/>
    <numFmt numFmtId="215" formatCode="&quot;$&quot;#,##0_);\(&quot;$&quot;#,##0\)"/>
  </numFmts>
  <fonts count="103">
    <font>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2"/>
      <scheme val="minor"/>
    </font>
    <font>
      <sz val="10"/>
      <color rgb="FF000000"/>
      <name val="Open Sans"/>
      <family val="2"/>
    </font>
    <font>
      <sz val="10"/>
      <name val="Open Sans"/>
      <family val="2"/>
    </font>
    <font>
      <sz val="11"/>
      <color rgb="FFC32838"/>
      <name val="Open Sans"/>
      <family val="2"/>
    </font>
    <font>
      <sz val="10"/>
      <color rgb="FF3271D2"/>
      <name val="Open Sans"/>
      <family val="2"/>
    </font>
    <font>
      <b/>
      <sz val="10"/>
      <name val="Open Sans"/>
      <family val="2"/>
    </font>
    <font>
      <i/>
      <sz val="9"/>
      <name val="Open Sans"/>
      <family val="2"/>
    </font>
    <font>
      <b/>
      <sz val="10"/>
      <color theme="0"/>
      <name val="Open Sans"/>
      <family val="2"/>
    </font>
    <font>
      <sz val="14"/>
      <color theme="1"/>
      <name val="Open Sans"/>
      <family val="2"/>
    </font>
    <font>
      <sz val="14"/>
      <color rgb="FF000000"/>
      <name val="Open Sans"/>
      <family val="2"/>
    </font>
    <font>
      <b/>
      <sz val="10"/>
      <color rgb="FF000000"/>
      <name val="Open Sans"/>
      <family val="2"/>
    </font>
    <font>
      <i/>
      <sz val="8"/>
      <name val="Open Sans"/>
      <family val="2"/>
    </font>
    <font>
      <sz val="11"/>
      <color theme="1"/>
      <name val="Open Sans"/>
      <family val="2"/>
    </font>
    <font>
      <sz val="15"/>
      <color theme="5" tint="-0.249977111117893"/>
      <name val="Open Sans"/>
      <family val="2"/>
    </font>
    <font>
      <i/>
      <sz val="10"/>
      <color rgb="FF000000"/>
      <name val="Open Sans"/>
      <family val="2"/>
    </font>
    <font>
      <sz val="11"/>
      <name val="Open Sans"/>
      <family val="2"/>
    </font>
    <font>
      <b/>
      <sz val="11"/>
      <color rgb="FF947131"/>
      <name val="Open Sans"/>
      <family val="2"/>
    </font>
    <font>
      <b/>
      <sz val="11"/>
      <color theme="1"/>
      <name val="等线"/>
      <family val="2"/>
      <scheme val="minor"/>
    </font>
    <font>
      <sz val="11"/>
      <color theme="4" tint="-0.249977111117893"/>
      <name val="等线"/>
      <family val="2"/>
      <scheme val="minor"/>
    </font>
    <font>
      <b/>
      <vertAlign val="superscript"/>
      <sz val="10"/>
      <name val="Open Sans"/>
      <family val="2"/>
    </font>
    <font>
      <sz val="10"/>
      <color theme="1"/>
      <name val="Open Sans"/>
      <family val="2"/>
    </font>
    <font>
      <sz val="10"/>
      <name val="Bookman"/>
      <family val="1"/>
    </font>
    <font>
      <i/>
      <sz val="10"/>
      <color theme="1"/>
      <name val="Open Sans"/>
      <family val="2"/>
    </font>
    <font>
      <sz val="11"/>
      <color rgb="FF000000"/>
      <name val="Open Sans"/>
      <family val="2"/>
    </font>
    <font>
      <i/>
      <sz val="11"/>
      <color rgb="FF000000"/>
      <name val="Open Sans"/>
      <family val="2"/>
    </font>
    <font>
      <i/>
      <sz val="8"/>
      <color theme="1"/>
      <name val="Open Sans"/>
      <family val="2"/>
    </font>
    <font>
      <b/>
      <vertAlign val="superscript"/>
      <sz val="10"/>
      <color rgb="FF000000"/>
      <name val="Open Sans"/>
      <family val="2"/>
    </font>
    <font>
      <sz val="10"/>
      <color rgb="FF0000FF"/>
      <name val="Open Sans"/>
      <family val="2"/>
    </font>
    <font>
      <b/>
      <sz val="14"/>
      <color theme="0"/>
      <name val="Open Sans"/>
      <family val="2"/>
    </font>
    <font>
      <b/>
      <sz val="10"/>
      <color theme="1"/>
      <name val="Open Sans"/>
      <family val="2"/>
    </font>
    <font>
      <b/>
      <sz val="14"/>
      <color rgb="FF0000FF"/>
      <name val="Open Sans"/>
      <family val="2"/>
    </font>
    <font>
      <sz val="10"/>
      <color theme="0"/>
      <name val="Open Sans"/>
      <family val="2"/>
    </font>
    <font>
      <b/>
      <sz val="10"/>
      <color rgb="FFFFFFFF"/>
      <name val="Open Sans"/>
      <family val="2"/>
    </font>
    <font>
      <i/>
      <sz val="10"/>
      <color rgb="FF3271D2"/>
      <name val="Open Sans"/>
      <family val="2"/>
    </font>
    <font>
      <vertAlign val="superscript"/>
      <sz val="9"/>
      <name val="Open Sans"/>
      <family val="2"/>
    </font>
    <font>
      <i/>
      <sz val="9"/>
      <color rgb="FF000000"/>
      <name val="Open Sans"/>
      <family val="2"/>
    </font>
    <font>
      <u/>
      <sz val="10"/>
      <color theme="10"/>
      <name val="Arial"/>
      <family val="2"/>
    </font>
    <font>
      <b/>
      <sz val="9"/>
      <color rgb="FF000000"/>
      <name val="Open Sans"/>
      <family val="2"/>
    </font>
    <font>
      <sz val="8"/>
      <name val="Open Sans"/>
      <family val="2"/>
    </font>
    <font>
      <sz val="10"/>
      <color rgb="FFC32838"/>
      <name val="Open Sans"/>
      <family val="2"/>
    </font>
    <font>
      <sz val="11"/>
      <color theme="1"/>
      <name val="Arial Narrow"/>
      <family val="2"/>
    </font>
    <font>
      <sz val="8"/>
      <color rgb="FF947131"/>
      <name val="Open Sans"/>
      <family val="2"/>
    </font>
    <font>
      <vertAlign val="superscript"/>
      <sz val="9"/>
      <color rgb="FF000000"/>
      <name val="Open Sans"/>
      <family val="2"/>
    </font>
    <font>
      <sz val="11"/>
      <color rgb="FF947131"/>
      <name val="Open Sans"/>
      <family val="2"/>
    </font>
    <font>
      <i/>
      <sz val="8"/>
      <color rgb="FF000000"/>
      <name val="Open Sans"/>
      <family val="2"/>
    </font>
    <font>
      <b/>
      <sz val="11"/>
      <color rgb="FF3271D2"/>
      <name val="Open Sans"/>
      <family val="2"/>
    </font>
    <font>
      <b/>
      <sz val="10"/>
      <color rgb="FF3271D2"/>
      <name val="Open Sans"/>
      <family val="2"/>
    </font>
    <font>
      <b/>
      <vertAlign val="superscript"/>
      <sz val="10"/>
      <color theme="1"/>
      <name val="Open Sans"/>
      <family val="2"/>
    </font>
    <font>
      <vertAlign val="superscript"/>
      <sz val="10"/>
      <color rgb="FF000000"/>
      <name val="Open Sans"/>
      <family val="2"/>
    </font>
    <font>
      <i/>
      <sz val="11"/>
      <color theme="1"/>
      <name val="Open Sans"/>
      <family val="2"/>
    </font>
    <font>
      <sz val="9"/>
      <color rgb="FF000000"/>
      <name val="Open Sans"/>
      <family val="2"/>
    </font>
    <font>
      <b/>
      <sz val="15"/>
      <color theme="5" tint="-0.249977111117893"/>
      <name val="Open Sans"/>
      <family val="2"/>
    </font>
    <font>
      <b/>
      <sz val="12"/>
      <color theme="5" tint="-0.249977111117893"/>
      <name val="Open Sans"/>
      <family val="2"/>
    </font>
    <font>
      <i/>
      <sz val="8"/>
      <color theme="2" tint="-0.499984740745262"/>
      <name val="Open Sans"/>
      <family val="2"/>
    </font>
    <font>
      <sz val="10"/>
      <color theme="2" tint="-0.499984740745262"/>
      <name val="Open Sans"/>
      <family val="2"/>
    </font>
    <font>
      <sz val="10"/>
      <color theme="2" tint="-0.499984740745262"/>
      <name val="宋体"/>
      <family val="2"/>
      <charset val="134"/>
    </font>
    <font>
      <vertAlign val="superscript"/>
      <sz val="10"/>
      <color theme="1"/>
      <name val="Open Sans"/>
      <family val="2"/>
    </font>
    <font>
      <sz val="8"/>
      <color theme="0"/>
      <name val="Open Sans"/>
      <family val="2"/>
    </font>
    <font>
      <b/>
      <sz val="10"/>
      <color rgb="FF555555"/>
      <name val="Open Sans"/>
      <family val="2"/>
    </font>
    <font>
      <sz val="14"/>
      <color rgb="FF555555"/>
      <name val="Open Sans"/>
      <family val="2"/>
    </font>
    <font>
      <i/>
      <sz val="9"/>
      <color theme="1"/>
      <name val="Open Sans"/>
      <family val="2"/>
    </font>
    <font>
      <sz val="10"/>
      <color rgb="FFFF0000"/>
      <name val="Open Sans"/>
      <family val="2"/>
    </font>
    <font>
      <sz val="11"/>
      <color rgb="FF555555"/>
      <name val="Open Sans"/>
      <family val="2"/>
    </font>
    <font>
      <sz val="11"/>
      <color theme="0"/>
      <name val="Open Sans"/>
      <family val="2"/>
    </font>
    <font>
      <sz val="10"/>
      <color rgb="FF947131"/>
      <name val="Open Sans"/>
      <family val="2"/>
    </font>
    <font>
      <i/>
      <sz val="10"/>
      <color rgb="FF947131"/>
      <name val="Open Sans"/>
      <family val="2"/>
    </font>
    <font>
      <b/>
      <sz val="12"/>
      <color rgb="FF947131"/>
      <name val="Open Sans"/>
      <family val="2"/>
    </font>
    <font>
      <sz val="9"/>
      <name val="Open Sans"/>
      <family val="2"/>
    </font>
    <font>
      <sz val="10"/>
      <color theme="1"/>
      <name val="宋体"/>
      <family val="2"/>
      <charset val="134"/>
    </font>
    <font>
      <sz val="9"/>
      <color theme="0"/>
      <name val="Open Sans"/>
      <family val="2"/>
    </font>
    <font>
      <sz val="11"/>
      <color theme="0"/>
      <name val="等线"/>
      <family val="2"/>
      <scheme val="minor"/>
    </font>
    <font>
      <i/>
      <sz val="10"/>
      <color theme="0"/>
      <name val="Open Sans"/>
      <family val="2"/>
    </font>
    <font>
      <b/>
      <sz val="11"/>
      <color theme="1"/>
      <name val="Open sans"/>
      <family val="2"/>
    </font>
    <font>
      <sz val="11"/>
      <color theme="8" tint="-0.249977111117893"/>
      <name val="Open sans"/>
      <family val="2"/>
    </font>
    <font>
      <b/>
      <sz val="10"/>
      <color rgb="FF000000"/>
      <name val="Open Sans"/>
      <family val="2"/>
    </font>
    <font>
      <b/>
      <sz val="14"/>
      <color theme="1"/>
      <name val="Open sans"/>
      <family val="2"/>
    </font>
    <font>
      <sz val="10"/>
      <name val="Arial"/>
      <family val="2"/>
    </font>
    <font>
      <b/>
      <sz val="10"/>
      <color rgb="FF947131"/>
      <name val="Open Sans"/>
      <family val="2"/>
    </font>
    <font>
      <sz val="8"/>
      <color rgb="FFBF7914"/>
      <name val="Open Sans"/>
      <family val="2"/>
    </font>
    <font>
      <b/>
      <u val="singleAccounting"/>
      <sz val="11"/>
      <color theme="5" tint="-0.249977111117893"/>
      <name val="Open Sans"/>
      <family val="2"/>
    </font>
    <font>
      <b/>
      <sz val="10"/>
      <color theme="5" tint="-0.249977111117893"/>
      <name val="Open Sans"/>
      <family val="2"/>
    </font>
    <font>
      <sz val="8"/>
      <color theme="1"/>
      <name val="Open Sans"/>
      <family val="2"/>
    </font>
    <font>
      <sz val="12"/>
      <color theme="1"/>
      <name val="Open Sans"/>
      <family val="2"/>
    </font>
    <font>
      <b/>
      <sz val="11"/>
      <color rgb="FF000000"/>
      <name val="Open Sans"/>
      <family val="2"/>
    </font>
    <font>
      <b/>
      <sz val="12"/>
      <color theme="0"/>
      <name val="Open Sans"/>
      <family val="2"/>
    </font>
    <font>
      <b/>
      <sz val="12"/>
      <color theme="1"/>
      <name val="Open Sans"/>
      <family val="2"/>
    </font>
    <font>
      <sz val="12"/>
      <color rgb="FF000000"/>
      <name val="Open Sans"/>
      <family val="2"/>
    </font>
    <font>
      <b/>
      <u/>
      <sz val="10"/>
      <color rgb="FF000000"/>
      <name val="Open Sans"/>
      <family val="2"/>
    </font>
    <font>
      <b/>
      <sz val="15"/>
      <color theme="5" tint="-0.249977111117893"/>
      <name val="Open Sans"/>
      <family val="2"/>
    </font>
    <font>
      <b/>
      <sz val="35"/>
      <color theme="0"/>
      <name val="Open sans"/>
    </font>
    <font>
      <b/>
      <sz val="11"/>
      <color theme="0"/>
      <name val="Open sans"/>
      <family val="2"/>
    </font>
    <font>
      <b/>
      <sz val="20"/>
      <color theme="5" tint="-0.249977111117893"/>
      <name val="Open sans"/>
      <family val="2"/>
    </font>
    <font>
      <b/>
      <sz val="14"/>
      <color theme="5" tint="-0.499984740745262"/>
      <name val="Open sans"/>
      <family val="2"/>
    </font>
    <font>
      <sz val="13"/>
      <color theme="1"/>
      <name val="Open sans"/>
      <family val="2"/>
    </font>
    <font>
      <b/>
      <sz val="13"/>
      <color theme="1"/>
      <name val="Open sans"/>
      <family val="2"/>
    </font>
    <font>
      <sz val="13"/>
      <color rgb="FF000000"/>
      <name val="Open Sans"/>
      <family val="2"/>
    </font>
    <font>
      <b/>
      <sz val="15"/>
      <color theme="5" tint="-0.499984740745262"/>
      <name val="Open sans"/>
    </font>
    <font>
      <u/>
      <sz val="11"/>
      <color theme="10"/>
      <name val="等线"/>
      <family val="2"/>
      <scheme val="minor"/>
    </font>
    <font>
      <u/>
      <sz val="13"/>
      <color theme="10"/>
      <name val="等线"/>
      <family val="2"/>
      <scheme val="minor"/>
    </font>
    <font>
      <u/>
      <sz val="13"/>
      <color theme="10"/>
      <name val="等线"/>
      <family val="3"/>
      <charset val="134"/>
      <scheme val="minor"/>
    </font>
  </fonts>
  <fills count="9">
    <fill>
      <patternFill patternType="none"/>
    </fill>
    <fill>
      <patternFill patternType="gray125"/>
    </fill>
    <fill>
      <patternFill patternType="solid">
        <fgColor rgb="FFF6F6F6"/>
        <bgColor rgb="FF000000"/>
      </patternFill>
    </fill>
    <fill>
      <patternFill patternType="solid">
        <fgColor theme="0"/>
        <bgColor indexed="64"/>
      </patternFill>
    </fill>
    <fill>
      <patternFill patternType="solid">
        <fgColor theme="5" tint="0.79998168889431442"/>
        <bgColor indexed="64"/>
      </patternFill>
    </fill>
    <fill>
      <patternFill patternType="solid">
        <fgColor theme="0"/>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499984740745262"/>
        <bgColor indexed="64"/>
      </patternFill>
    </fill>
  </fills>
  <borders count="55">
    <border>
      <left/>
      <right/>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right/>
      <top style="thin">
        <color indexed="64"/>
      </top>
      <bottom style="medium">
        <color indexed="64"/>
      </bottom>
      <diagonal/>
    </border>
    <border diagonalUp="1" diagonalDown="1">
      <left/>
      <right/>
      <top/>
      <bottom/>
      <diagonal style="thin">
        <color auto="1"/>
      </diagonal>
    </border>
    <border>
      <left/>
      <right style="hair">
        <color rgb="FF000000"/>
      </right>
      <top/>
      <bottom/>
      <diagonal/>
    </border>
    <border>
      <left style="hair">
        <color rgb="FF000000"/>
      </left>
      <right/>
      <top/>
      <bottom/>
      <diagonal/>
    </border>
    <border>
      <left/>
      <right/>
      <top style="thin">
        <color rgb="FF3271D2"/>
      </top>
      <bottom/>
      <diagonal/>
    </border>
    <border>
      <left/>
      <right/>
      <top/>
      <bottom style="medium">
        <color rgb="FF3271D2"/>
      </bottom>
      <diagonal/>
    </border>
    <border>
      <left/>
      <right style="hair">
        <color rgb="FF000000"/>
      </right>
      <top style="hair">
        <color rgb="FF000000"/>
      </top>
      <bottom style="hair">
        <color rgb="FF000000"/>
      </bottom>
      <diagonal/>
    </border>
    <border>
      <left/>
      <right/>
      <top/>
      <bottom style="medium">
        <color theme="5" tint="-0.24994659260841701"/>
      </bottom>
      <diagonal/>
    </border>
    <border>
      <left/>
      <right/>
      <top/>
      <bottom style="thin">
        <color theme="5" tint="-0.24994659260841701"/>
      </bottom>
      <diagonal/>
    </border>
    <border>
      <left/>
      <right/>
      <top style="thin">
        <color theme="5" tint="-0.24994659260841701"/>
      </top>
      <bottom/>
      <diagonal/>
    </border>
    <border>
      <left/>
      <right/>
      <top style="thin">
        <color theme="5" tint="-0.24994659260841701"/>
      </top>
      <bottom style="thick">
        <color theme="5" tint="-0.2499465926084170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right style="thin">
        <color theme="5" tint="-0.24994659260841701"/>
      </right>
      <top/>
      <bottom/>
      <diagonal/>
    </border>
    <border>
      <left/>
      <right style="thin">
        <color theme="5" tint="-0.24994659260841701"/>
      </right>
      <top/>
      <bottom style="thin">
        <color theme="5" tint="-0.24994659260841701"/>
      </bottom>
      <diagonal/>
    </border>
    <border>
      <left style="thin">
        <color theme="5" tint="-0.24994659260841701"/>
      </left>
      <right style="thin">
        <color theme="5" tint="-0.24994659260841701"/>
      </right>
      <top/>
      <bottom/>
      <diagonal/>
    </border>
    <border>
      <left style="thin">
        <color theme="5" tint="-0.24994659260841701"/>
      </left>
      <right style="thin">
        <color theme="5" tint="-0.24994659260841701"/>
      </right>
      <top/>
      <bottom style="thin">
        <color theme="5" tint="-0.24994659260841701"/>
      </bottom>
      <diagonal/>
    </border>
    <border>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right style="hair">
        <color theme="5" tint="-0.24994659260841701"/>
      </right>
      <top/>
      <bottom/>
      <diagonal/>
    </border>
    <border>
      <left style="hair">
        <color theme="5" tint="-0.24994659260841701"/>
      </left>
      <right style="hair">
        <color theme="5" tint="-0.24994659260841701"/>
      </right>
      <top/>
      <bottom/>
      <diagonal/>
    </border>
    <border>
      <left style="thin">
        <color theme="5" tint="-0.24994659260841701"/>
      </left>
      <right/>
      <top/>
      <bottom/>
      <diagonal/>
    </border>
    <border>
      <left style="thin">
        <color theme="5" tint="-0.24994659260841701"/>
      </left>
      <right/>
      <top/>
      <bottom style="thin">
        <color theme="5" tint="-0.24994659260841701"/>
      </bottom>
      <diagonal/>
    </border>
    <border>
      <left style="thin">
        <color theme="5" tint="-0.24994659260841701"/>
      </left>
      <right/>
      <top style="thin">
        <color theme="5" tint="-0.24994659260841701"/>
      </top>
      <bottom style="thin">
        <color theme="5" tint="-0.24994659260841701"/>
      </bottom>
      <diagonal/>
    </border>
    <border>
      <left style="thick">
        <color theme="5" tint="-0.499984740745262"/>
      </left>
      <right/>
      <top style="thick">
        <color theme="5" tint="-0.499984740745262"/>
      </top>
      <bottom/>
      <diagonal/>
    </border>
    <border>
      <left/>
      <right/>
      <top style="thick">
        <color theme="5" tint="-0.499984740745262"/>
      </top>
      <bottom/>
      <diagonal/>
    </border>
    <border>
      <left/>
      <right style="thick">
        <color theme="5" tint="-0.499984740745262"/>
      </right>
      <top style="thick">
        <color theme="5" tint="-0.499984740745262"/>
      </top>
      <bottom/>
      <diagonal/>
    </border>
    <border>
      <left style="thick">
        <color theme="5" tint="-0.499984740745262"/>
      </left>
      <right/>
      <top/>
      <bottom/>
      <diagonal/>
    </border>
    <border>
      <left/>
      <right style="thick">
        <color theme="5" tint="-0.499984740745262"/>
      </right>
      <top/>
      <bottom/>
      <diagonal/>
    </border>
    <border>
      <left style="thick">
        <color theme="5" tint="-0.499984740745262"/>
      </left>
      <right/>
      <top/>
      <bottom style="thick">
        <color theme="5" tint="-0.499984740745262"/>
      </bottom>
      <diagonal/>
    </border>
    <border>
      <left/>
      <right/>
      <top/>
      <bottom style="thick">
        <color theme="5" tint="-0.499984740745262"/>
      </bottom>
      <diagonal/>
    </border>
    <border>
      <left/>
      <right style="thick">
        <color theme="5" tint="-0.499984740745262"/>
      </right>
      <top/>
      <bottom style="thick">
        <color theme="5" tint="-0.499984740745262"/>
      </bottom>
      <diagonal/>
    </border>
  </borders>
  <cellStyleXfs count="10">
    <xf numFmtId="0" fontId="0" fillId="0" borderId="0"/>
    <xf numFmtId="9" fontId="3" fillId="0" borderId="0" applyFont="0" applyFill="0" applyBorder="0" applyAlignment="0" applyProtection="0">
      <alignment vertical="center"/>
    </xf>
    <xf numFmtId="190" fontId="24" fillId="0" borderId="0" applyFont="0" applyFill="0" applyBorder="0" applyAlignment="0" applyProtection="0"/>
    <xf numFmtId="190" fontId="3" fillId="0" borderId="0" applyFont="0" applyFill="0" applyBorder="0" applyAlignment="0" applyProtection="0"/>
    <xf numFmtId="0" fontId="39" fillId="0" borderId="0" applyNumberFormat="0" applyFill="0" applyBorder="0" applyAlignment="0" applyProtection="0"/>
    <xf numFmtId="0" fontId="43" fillId="0" borderId="0"/>
    <xf numFmtId="43" fontId="3" fillId="0" borderId="0" applyFont="0" applyFill="0" applyBorder="0" applyAlignment="0" applyProtection="0">
      <alignment vertical="center"/>
    </xf>
    <xf numFmtId="0" fontId="3" fillId="0" borderId="0"/>
    <xf numFmtId="0" fontId="79" fillId="0" borderId="0"/>
    <xf numFmtId="0" fontId="100" fillId="0" borderId="0" applyNumberFormat="0" applyFill="0" applyBorder="0" applyAlignment="0" applyProtection="0"/>
  </cellStyleXfs>
  <cellXfs count="699">
    <xf numFmtId="0" fontId="0" fillId="0" borderId="0" xfId="0"/>
    <xf numFmtId="0" fontId="2" fillId="0" borderId="0" xfId="0" applyFont="1" applyAlignment="1">
      <alignment horizontal="center" vertical="center" wrapText="1"/>
    </xf>
    <xf numFmtId="0" fontId="0" fillId="0" borderId="0" xfId="0" applyAlignment="1">
      <alignment horizontal="center" vertical="center"/>
    </xf>
    <xf numFmtId="10" fontId="0" fillId="0" borderId="0" xfId="0" applyNumberFormat="1"/>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4" fillId="0" borderId="5" xfId="0" applyFont="1" applyBorder="1" applyAlignment="1">
      <alignment horizontal="left"/>
    </xf>
    <xf numFmtId="177" fontId="8" fillId="0" borderId="0" xfId="0" applyNumberFormat="1" applyFont="1" applyAlignment="1">
      <alignment horizontal="right"/>
    </xf>
    <xf numFmtId="176" fontId="4" fillId="0" borderId="0" xfId="0" applyNumberFormat="1" applyFont="1"/>
    <xf numFmtId="37" fontId="10" fillId="0" borderId="0" xfId="0" applyNumberFormat="1" applyFont="1" applyAlignment="1">
      <alignment vertical="center"/>
    </xf>
    <xf numFmtId="37" fontId="11" fillId="0" borderId="0" xfId="0" applyNumberFormat="1" applyFont="1" applyAlignment="1">
      <alignment vertical="center"/>
    </xf>
    <xf numFmtId="179" fontId="4" fillId="0" borderId="0" xfId="0" applyNumberFormat="1" applyFont="1"/>
    <xf numFmtId="0" fontId="4" fillId="0" borderId="0" xfId="0" applyFont="1" applyAlignment="1">
      <alignment horizontal="left" indent="1"/>
    </xf>
    <xf numFmtId="0" fontId="19" fillId="0" borderId="0" xfId="0" applyFont="1" applyAlignment="1">
      <alignment horizontal="center" vertical="center"/>
    </xf>
    <xf numFmtId="176" fontId="4" fillId="0" borderId="12" xfId="0" applyNumberFormat="1" applyFont="1" applyBorder="1" applyAlignment="1">
      <alignment vertical="center"/>
    </xf>
    <xf numFmtId="0" fontId="16" fillId="0" borderId="0" xfId="0" applyFont="1" applyAlignment="1">
      <alignment horizontal="center" vertical="center"/>
    </xf>
    <xf numFmtId="0" fontId="5" fillId="0" borderId="0" xfId="0" applyFont="1" applyAlignment="1">
      <alignment horizontal="center" vertical="center"/>
    </xf>
    <xf numFmtId="176" fontId="4" fillId="0" borderId="6" xfId="0" applyNumberFormat="1" applyFont="1" applyBorder="1" applyAlignment="1">
      <alignment horizontal="center" vertical="center"/>
    </xf>
    <xf numFmtId="176" fontId="4" fillId="0" borderId="0" xfId="0" applyNumberFormat="1" applyFont="1" applyAlignment="1">
      <alignment horizontal="center" vertical="center"/>
    </xf>
    <xf numFmtId="176" fontId="7" fillId="0" borderId="0" xfId="0" applyNumberFormat="1" applyFont="1" applyAlignment="1">
      <alignment horizontal="center" vertical="center"/>
    </xf>
    <xf numFmtId="176" fontId="4" fillId="0" borderId="7" xfId="0" applyNumberFormat="1" applyFont="1" applyBorder="1" applyAlignment="1">
      <alignment horizontal="center" vertical="center"/>
    </xf>
    <xf numFmtId="176" fontId="4" fillId="0" borderId="8" xfId="0" applyNumberFormat="1" applyFont="1" applyBorder="1" applyAlignment="1">
      <alignment horizontal="center" vertical="center"/>
    </xf>
    <xf numFmtId="176" fontId="4" fillId="0" borderId="1" xfId="0" applyNumberFormat="1" applyFont="1" applyBorder="1" applyAlignment="1">
      <alignment horizontal="center" vertical="center"/>
    </xf>
    <xf numFmtId="180" fontId="7" fillId="0" borderId="0" xfId="0" applyNumberFormat="1" applyFont="1" applyAlignment="1">
      <alignment horizontal="center" vertical="center"/>
    </xf>
    <xf numFmtId="176" fontId="5" fillId="0" borderId="0" xfId="0" applyNumberFormat="1" applyFont="1" applyAlignment="1">
      <alignment horizontal="center" vertical="center"/>
    </xf>
    <xf numFmtId="10" fontId="0" fillId="0" borderId="0" xfId="0" applyNumberFormat="1" applyAlignment="1">
      <alignment horizontal="center" vertical="center"/>
    </xf>
    <xf numFmtId="3" fontId="0" fillId="0" borderId="0" xfId="0" applyNumberFormat="1" applyAlignment="1">
      <alignment horizontal="center" vertical="center"/>
    </xf>
    <xf numFmtId="183" fontId="2" fillId="0" borderId="0" xfId="0" applyNumberFormat="1" applyFont="1" applyAlignment="1">
      <alignment horizontal="center" vertical="center"/>
    </xf>
    <xf numFmtId="184" fontId="2" fillId="0" borderId="0" xfId="0" applyNumberFormat="1" applyFont="1" applyAlignment="1">
      <alignment horizontal="center" vertical="center"/>
    </xf>
    <xf numFmtId="0" fontId="2" fillId="0" borderId="0" xfId="0" applyFont="1" applyAlignment="1">
      <alignment horizontal="center" vertical="center"/>
    </xf>
    <xf numFmtId="0" fontId="20" fillId="0" borderId="0" xfId="0" applyFont="1" applyAlignment="1">
      <alignment horizontal="center" vertical="center"/>
    </xf>
    <xf numFmtId="9" fontId="0" fillId="0" borderId="0" xfId="0" applyNumberFormat="1" applyAlignment="1">
      <alignment horizontal="center" vertical="center"/>
    </xf>
    <xf numFmtId="9" fontId="21" fillId="0" borderId="0" xfId="0" applyNumberFormat="1" applyFont="1" applyAlignment="1">
      <alignment horizontal="center" vertical="center"/>
    </xf>
    <xf numFmtId="0" fontId="13" fillId="0" borderId="0" xfId="0" applyFont="1" applyAlignment="1">
      <alignment horizontal="left" indent="1"/>
    </xf>
    <xf numFmtId="0" fontId="21" fillId="0" borderId="13" xfId="0" applyFont="1" applyBorder="1" applyAlignment="1">
      <alignment horizontal="center" vertical="center"/>
    </xf>
    <xf numFmtId="0" fontId="21" fillId="0" borderId="0" xfId="0" applyFont="1" applyAlignment="1">
      <alignment horizontal="center" vertical="center"/>
    </xf>
    <xf numFmtId="3" fontId="21" fillId="0" borderId="0" xfId="0" applyNumberFormat="1" applyFont="1" applyAlignment="1">
      <alignment horizontal="center" vertical="center"/>
    </xf>
    <xf numFmtId="49" fontId="5" fillId="0" borderId="0" xfId="0" applyNumberFormat="1" applyFont="1" applyAlignment="1">
      <alignment horizontal="left"/>
    </xf>
    <xf numFmtId="10" fontId="21" fillId="0" borderId="0" xfId="0" applyNumberFormat="1" applyFont="1"/>
    <xf numFmtId="49" fontId="8" fillId="0" borderId="0" xfId="0" applyNumberFormat="1" applyFont="1" applyAlignment="1">
      <alignment horizontal="left"/>
    </xf>
    <xf numFmtId="0" fontId="8" fillId="0" borderId="0" xfId="0" applyFont="1" applyAlignment="1">
      <alignment horizontal="right"/>
    </xf>
    <xf numFmtId="0" fontId="8" fillId="0" borderId="0" xfId="0" applyFont="1" applyAlignment="1">
      <alignment horizontal="centerContinuous"/>
    </xf>
    <xf numFmtId="185" fontId="8" fillId="0" borderId="0" xfId="0" applyNumberFormat="1" applyFont="1" applyAlignment="1">
      <alignment horizontal="centerContinuous"/>
    </xf>
    <xf numFmtId="37" fontId="11" fillId="0" borderId="0" xfId="0" applyNumberFormat="1" applyFont="1" applyAlignment="1">
      <alignment horizontal="centerContinuous" vertical="center"/>
    </xf>
    <xf numFmtId="0" fontId="5" fillId="0" borderId="1" xfId="0" applyFont="1" applyBorder="1" applyAlignment="1">
      <alignment horizontal="left"/>
    </xf>
    <xf numFmtId="37" fontId="11" fillId="0" borderId="8" xfId="0" applyNumberFormat="1" applyFont="1" applyBorder="1" applyAlignment="1">
      <alignment vertical="center"/>
    </xf>
    <xf numFmtId="182" fontId="5" fillId="0" borderId="2" xfId="1" applyNumberFormat="1" applyFont="1" applyFill="1" applyBorder="1" applyAlignment="1">
      <alignment horizontal="right"/>
    </xf>
    <xf numFmtId="177" fontId="8" fillId="0" borderId="0" xfId="0" applyNumberFormat="1" applyFont="1" applyAlignment="1">
      <alignment horizontal="left"/>
    </xf>
    <xf numFmtId="186" fontId="8" fillId="0" borderId="0" xfId="0" applyNumberFormat="1" applyFont="1" applyAlignment="1">
      <alignment horizontal="right"/>
    </xf>
    <xf numFmtId="37" fontId="12" fillId="0" borderId="7" xfId="0" applyNumberFormat="1" applyFont="1" applyBorder="1" applyAlignment="1">
      <alignment vertical="center"/>
    </xf>
    <xf numFmtId="176" fontId="5" fillId="0" borderId="6" xfId="0" applyNumberFormat="1" applyFont="1" applyBorder="1" applyAlignment="1">
      <alignment horizontal="right"/>
    </xf>
    <xf numFmtId="187" fontId="4" fillId="0" borderId="4" xfId="0" applyNumberFormat="1" applyFont="1" applyBorder="1" applyAlignment="1">
      <alignment horizontal="right"/>
    </xf>
    <xf numFmtId="182" fontId="5" fillId="0" borderId="2" xfId="1" applyNumberFormat="1" applyFont="1" applyBorder="1" applyAlignment="1">
      <alignment horizontal="right"/>
    </xf>
    <xf numFmtId="187" fontId="5" fillId="0" borderId="6" xfId="0" applyNumberFormat="1" applyFont="1" applyBorder="1" applyAlignment="1">
      <alignment horizontal="right"/>
    </xf>
    <xf numFmtId="0" fontId="8" fillId="0" borderId="0" xfId="0" applyFont="1" applyAlignment="1">
      <alignment horizontal="left"/>
    </xf>
    <xf numFmtId="188" fontId="8" fillId="0" borderId="0" xfId="0" applyNumberFormat="1" applyFont="1" applyAlignment="1">
      <alignment horizontal="right"/>
    </xf>
    <xf numFmtId="185" fontId="8" fillId="0" borderId="1" xfId="0" applyNumberFormat="1" applyFont="1" applyBorder="1" applyAlignment="1">
      <alignment horizontal="left"/>
    </xf>
    <xf numFmtId="180" fontId="4" fillId="0" borderId="8" xfId="0" applyNumberFormat="1" applyFont="1" applyBorder="1" applyAlignment="1">
      <alignment horizontal="right"/>
    </xf>
    <xf numFmtId="185" fontId="8" fillId="0" borderId="15" xfId="0" applyNumberFormat="1" applyFont="1" applyBorder="1" applyAlignment="1">
      <alignment horizontal="left"/>
    </xf>
    <xf numFmtId="180" fontId="4" fillId="0" borderId="0" xfId="0" applyNumberFormat="1" applyFont="1" applyAlignment="1">
      <alignment horizontal="right"/>
    </xf>
    <xf numFmtId="180" fontId="4" fillId="0" borderId="14" xfId="0" applyNumberFormat="1" applyFont="1" applyBorder="1" applyAlignment="1">
      <alignment horizontal="right"/>
    </xf>
    <xf numFmtId="185" fontId="8" fillId="0" borderId="5" xfId="0" applyNumberFormat="1" applyFont="1" applyBorder="1" applyAlignment="1">
      <alignment horizontal="left"/>
    </xf>
    <xf numFmtId="180" fontId="4" fillId="0" borderId="7" xfId="0" applyNumberFormat="1" applyFont="1" applyBorder="1" applyAlignment="1">
      <alignment horizontal="right"/>
    </xf>
    <xf numFmtId="180" fontId="4" fillId="0" borderId="6" xfId="0" applyNumberFormat="1" applyFont="1" applyBorder="1" applyAlignment="1">
      <alignment horizontal="right"/>
    </xf>
    <xf numFmtId="185" fontId="8" fillId="0" borderId="0" xfId="0" applyNumberFormat="1" applyFont="1" applyAlignment="1">
      <alignment horizontal="right"/>
    </xf>
    <xf numFmtId="179" fontId="4" fillId="0" borderId="8" xfId="0" applyNumberFormat="1" applyFont="1" applyBorder="1" applyAlignment="1">
      <alignment horizontal="left"/>
    </xf>
    <xf numFmtId="179" fontId="4" fillId="0" borderId="2" xfId="0" applyNumberFormat="1" applyFont="1" applyBorder="1" applyAlignment="1">
      <alignment horizontal="left"/>
    </xf>
    <xf numFmtId="176" fontId="4" fillId="0" borderId="8" xfId="0" applyNumberFormat="1" applyFont="1" applyBorder="1" applyAlignment="1">
      <alignment horizontal="right"/>
    </xf>
    <xf numFmtId="179" fontId="4" fillId="0" borderId="14" xfId="0" applyNumberFormat="1" applyFont="1" applyBorder="1" applyAlignment="1">
      <alignment horizontal="left"/>
    </xf>
    <xf numFmtId="179" fontId="4" fillId="0" borderId="6" xfId="0" applyNumberFormat="1" applyFont="1" applyBorder="1" applyAlignment="1">
      <alignment horizontal="left"/>
    </xf>
    <xf numFmtId="0" fontId="5" fillId="0" borderId="0" xfId="0" applyFont="1" applyAlignment="1">
      <alignment horizontal="left" indent="1"/>
    </xf>
    <xf numFmtId="0" fontId="23" fillId="0" borderId="0" xfId="0" applyFont="1" applyAlignment="1">
      <alignment vertical="center"/>
    </xf>
    <xf numFmtId="191" fontId="23" fillId="0" borderId="0" xfId="2" applyNumberFormat="1" applyFont="1" applyBorder="1" applyAlignment="1" applyProtection="1">
      <alignment vertical="center"/>
      <protection locked="0"/>
    </xf>
    <xf numFmtId="191" fontId="25" fillId="0" borderId="0" xfId="2" applyNumberFormat="1" applyFont="1" applyBorder="1" applyAlignment="1" applyProtection="1">
      <alignment vertical="center"/>
      <protection locked="0"/>
    </xf>
    <xf numFmtId="176" fontId="7" fillId="0" borderId="0" xfId="3" applyNumberFormat="1" applyFont="1" applyFill="1" applyBorder="1" applyAlignment="1">
      <alignment vertical="center"/>
    </xf>
    <xf numFmtId="187" fontId="7" fillId="0" borderId="0" xfId="1" applyNumberFormat="1" applyFont="1" applyFill="1" applyBorder="1" applyAlignment="1">
      <alignment vertical="center"/>
    </xf>
    <xf numFmtId="0" fontId="4" fillId="0" borderId="0" xfId="0" applyFont="1" applyAlignment="1">
      <alignment vertical="center"/>
    </xf>
    <xf numFmtId="191" fontId="17" fillId="0" borderId="0" xfId="2" applyNumberFormat="1" applyFont="1" applyFill="1" applyBorder="1" applyAlignment="1">
      <alignment horizontal="right" vertical="center"/>
    </xf>
    <xf numFmtId="0" fontId="26" fillId="0" borderId="0" xfId="0" applyFont="1" applyAlignment="1">
      <alignment vertical="center"/>
    </xf>
    <xf numFmtId="191" fontId="27" fillId="0" borderId="0" xfId="2" applyNumberFormat="1" applyFont="1" applyFill="1" applyBorder="1" applyAlignment="1" applyProtection="1">
      <alignment vertical="center"/>
      <protection locked="0"/>
    </xf>
    <xf numFmtId="180" fontId="7" fillId="0" borderId="0" xfId="1" applyNumberFormat="1" applyFont="1" applyFill="1" applyBorder="1" applyAlignment="1">
      <alignment horizontal="right" vertical="center"/>
    </xf>
    <xf numFmtId="0" fontId="28" fillId="0" borderId="0" xfId="0" applyFont="1" applyAlignment="1">
      <alignment horizontal="center" vertical="center"/>
    </xf>
    <xf numFmtId="182" fontId="7" fillId="0" borderId="0" xfId="3" applyNumberFormat="1" applyFont="1" applyFill="1" applyBorder="1" applyAlignment="1">
      <alignment vertical="center"/>
    </xf>
    <xf numFmtId="0" fontId="4" fillId="0" borderId="0" xfId="0" applyFont="1"/>
    <xf numFmtId="0" fontId="14" fillId="0" borderId="0" xfId="0" applyFont="1" applyAlignment="1">
      <alignment horizontal="center"/>
    </xf>
    <xf numFmtId="0" fontId="5" fillId="0" borderId="0" xfId="0" applyFont="1"/>
    <xf numFmtId="176" fontId="4" fillId="0" borderId="2" xfId="0" applyNumberFormat="1" applyFont="1" applyBorder="1"/>
    <xf numFmtId="176" fontId="4" fillId="0" borderId="14" xfId="0" applyNumberFormat="1" applyFont="1" applyBorder="1"/>
    <xf numFmtId="176" fontId="4" fillId="0" borderId="7" xfId="0" applyNumberFormat="1" applyFont="1" applyBorder="1"/>
    <xf numFmtId="0" fontId="18" fillId="0" borderId="0" xfId="0" applyFont="1"/>
    <xf numFmtId="0" fontId="8" fillId="0" borderId="0" xfId="0" applyFont="1"/>
    <xf numFmtId="0" fontId="13" fillId="0" borderId="0" xfId="0" applyFont="1" applyAlignment="1">
      <alignment horizontal="left"/>
    </xf>
    <xf numFmtId="176" fontId="5" fillId="0" borderId="0" xfId="0" applyNumberFormat="1" applyFont="1"/>
    <xf numFmtId="0" fontId="9" fillId="0" borderId="0" xfId="0" applyFont="1" applyAlignment="1">
      <alignment horizontal="center"/>
    </xf>
    <xf numFmtId="176" fontId="7" fillId="0" borderId="0" xfId="0" applyNumberFormat="1" applyFont="1"/>
    <xf numFmtId="0" fontId="8" fillId="0" borderId="0" xfId="0" applyFont="1" applyAlignment="1">
      <alignment horizontal="left" indent="1"/>
    </xf>
    <xf numFmtId="177" fontId="31" fillId="0" borderId="0" xfId="0" applyNumberFormat="1" applyFont="1" applyAlignment="1">
      <alignment horizontal="right" vertical="center"/>
    </xf>
    <xf numFmtId="0" fontId="4" fillId="0" borderId="0" xfId="0" applyFont="1" applyAlignment="1">
      <alignment horizontal="left" indent="2"/>
    </xf>
    <xf numFmtId="0" fontId="28" fillId="0" borderId="0" xfId="0" quotePrefix="1" applyFont="1" applyAlignment="1">
      <alignment horizontal="center" vertical="center"/>
    </xf>
    <xf numFmtId="176" fontId="7" fillId="0" borderId="1" xfId="0" applyNumberFormat="1" applyFont="1" applyBorder="1" applyAlignment="1">
      <alignment horizontal="right" vertical="center"/>
    </xf>
    <xf numFmtId="176" fontId="7" fillId="0" borderId="15" xfId="0" applyNumberFormat="1" applyFont="1" applyBorder="1" applyAlignment="1">
      <alignment horizontal="right" vertical="center"/>
    </xf>
    <xf numFmtId="176" fontId="7" fillId="0" borderId="5" xfId="0" applyNumberFormat="1" applyFont="1" applyBorder="1" applyAlignment="1">
      <alignment horizontal="right" vertical="center"/>
    </xf>
    <xf numFmtId="181" fontId="7" fillId="0" borderId="0" xfId="0" applyNumberFormat="1" applyFont="1" applyAlignment="1">
      <alignment horizontal="right" vertical="center"/>
    </xf>
    <xf numFmtId="0" fontId="15" fillId="0" borderId="0" xfId="0" applyFont="1"/>
    <xf numFmtId="178" fontId="9" fillId="0" borderId="0" xfId="0" applyNumberFormat="1" applyFont="1" applyAlignment="1">
      <alignment vertical="center"/>
    </xf>
    <xf numFmtId="177" fontId="10" fillId="0" borderId="0" xfId="0" applyNumberFormat="1" applyFont="1" applyAlignment="1">
      <alignment horizontal="right"/>
    </xf>
    <xf numFmtId="0" fontId="5" fillId="0" borderId="0" xfId="0" applyFont="1" applyAlignment="1">
      <alignment horizontal="left"/>
    </xf>
    <xf numFmtId="176" fontId="4" fillId="2" borderId="3" xfId="0" applyNumberFormat="1" applyFont="1" applyFill="1" applyBorder="1"/>
    <xf numFmtId="176" fontId="4" fillId="2" borderId="4" xfId="0" applyNumberFormat="1" applyFont="1" applyFill="1" applyBorder="1"/>
    <xf numFmtId="176" fontId="4" fillId="2" borderId="18" xfId="0" applyNumberFormat="1" applyFont="1" applyFill="1" applyBorder="1"/>
    <xf numFmtId="0" fontId="4" fillId="0" borderId="1" xfId="0" applyFont="1" applyBorder="1" applyAlignment="1">
      <alignment horizontal="left"/>
    </xf>
    <xf numFmtId="37" fontId="12" fillId="0" borderId="8" xfId="0" applyNumberFormat="1" applyFont="1" applyBorder="1" applyAlignment="1">
      <alignment vertical="center"/>
    </xf>
    <xf numFmtId="187" fontId="5" fillId="0" borderId="2" xfId="0" applyNumberFormat="1" applyFont="1" applyBorder="1" applyAlignment="1">
      <alignment horizontal="right"/>
    </xf>
    <xf numFmtId="0" fontId="5" fillId="0" borderId="5" xfId="0" applyFont="1" applyBorder="1" applyAlignment="1">
      <alignment horizontal="left"/>
    </xf>
    <xf numFmtId="0" fontId="4" fillId="0" borderId="0" xfId="0" applyFont="1" applyAlignment="1">
      <alignment horizontal="left"/>
    </xf>
    <xf numFmtId="37" fontId="12" fillId="0" borderId="0" xfId="0" applyNumberFormat="1" applyFont="1" applyAlignment="1">
      <alignment vertical="center"/>
    </xf>
    <xf numFmtId="180" fontId="7" fillId="0" borderId="0" xfId="0" applyNumberFormat="1" applyFont="1" applyAlignment="1">
      <alignment horizontal="right"/>
    </xf>
    <xf numFmtId="192" fontId="4" fillId="0" borderId="0" xfId="0" applyNumberFormat="1" applyFont="1" applyAlignment="1">
      <alignment horizontal="left"/>
    </xf>
    <xf numFmtId="176" fontId="4" fillId="0" borderId="0" xfId="1" applyNumberFormat="1" applyFont="1" applyAlignment="1"/>
    <xf numFmtId="176" fontId="4" fillId="2" borderId="7" xfId="0" applyNumberFormat="1" applyFont="1" applyFill="1" applyBorder="1"/>
    <xf numFmtId="189" fontId="4" fillId="0" borderId="0" xfId="0" applyNumberFormat="1" applyFont="1"/>
    <xf numFmtId="176" fontId="8" fillId="0" borderId="0" xfId="0" applyNumberFormat="1" applyFont="1" applyAlignment="1">
      <alignment horizontal="right"/>
    </xf>
    <xf numFmtId="37" fontId="11" fillId="0" borderId="7" xfId="0" applyNumberFormat="1" applyFont="1" applyBorder="1" applyAlignment="1">
      <alignment vertical="center"/>
    </xf>
    <xf numFmtId="179" fontId="7" fillId="0" borderId="0" xfId="0" applyNumberFormat="1" applyFont="1"/>
    <xf numFmtId="0" fontId="23" fillId="0" borderId="1" xfId="0" applyFont="1" applyBorder="1" applyAlignment="1">
      <alignment vertical="center"/>
    </xf>
    <xf numFmtId="193" fontId="5" fillId="0" borderId="2" xfId="3" applyNumberFormat="1" applyFont="1" applyFill="1" applyBorder="1" applyAlignment="1">
      <alignment horizontal="right"/>
    </xf>
    <xf numFmtId="181" fontId="4" fillId="0" borderId="6" xfId="1" applyNumberFormat="1" applyFont="1" applyFill="1" applyBorder="1" applyAlignment="1"/>
    <xf numFmtId="181" fontId="4" fillId="0" borderId="0" xfId="1" applyNumberFormat="1" applyFont="1" applyFill="1" applyBorder="1" applyAlignment="1"/>
    <xf numFmtId="37" fontId="33" fillId="0" borderId="0" xfId="0" applyNumberFormat="1" applyFont="1" applyAlignment="1">
      <alignment vertical="center"/>
    </xf>
    <xf numFmtId="37" fontId="34" fillId="0" borderId="0" xfId="0" applyNumberFormat="1" applyFont="1" applyAlignment="1">
      <alignment vertical="center"/>
    </xf>
    <xf numFmtId="176" fontId="4" fillId="2" borderId="8" xfId="0" applyNumberFormat="1" applyFont="1" applyFill="1" applyBorder="1"/>
    <xf numFmtId="176" fontId="4" fillId="2" borderId="2" xfId="0" applyNumberFormat="1" applyFont="1" applyFill="1" applyBorder="1"/>
    <xf numFmtId="195" fontId="4" fillId="0" borderId="5" xfId="0" applyNumberFormat="1" applyFont="1" applyBorder="1"/>
    <xf numFmtId="195" fontId="4" fillId="0" borderId="7" xfId="0" applyNumberFormat="1" applyFont="1" applyBorder="1"/>
    <xf numFmtId="195" fontId="4" fillId="0" borderId="6" xfId="0" applyNumberFormat="1" applyFont="1" applyBorder="1"/>
    <xf numFmtId="37" fontId="35" fillId="0" borderId="8" xfId="0" applyNumberFormat="1" applyFont="1" applyBorder="1" applyAlignment="1">
      <alignment vertical="center"/>
    </xf>
    <xf numFmtId="181" fontId="4" fillId="0" borderId="2" xfId="1" applyNumberFormat="1" applyFont="1" applyFill="1" applyBorder="1" applyAlignment="1"/>
    <xf numFmtId="49" fontId="4" fillId="0" borderId="5" xfId="0" applyNumberFormat="1" applyFont="1" applyBorder="1" applyAlignment="1">
      <alignment horizontal="left"/>
    </xf>
    <xf numFmtId="37" fontId="10" fillId="0" borderId="7" xfId="0" applyNumberFormat="1" applyFont="1" applyBorder="1" applyAlignment="1">
      <alignment vertical="center"/>
    </xf>
    <xf numFmtId="196" fontId="4" fillId="0" borderId="6" xfId="0" applyNumberFormat="1" applyFont="1" applyBorder="1" applyAlignment="1">
      <alignment horizontal="right"/>
    </xf>
    <xf numFmtId="181" fontId="36" fillId="0" borderId="0" xfId="1" applyNumberFormat="1" applyFont="1" applyBorder="1" applyAlignment="1"/>
    <xf numFmtId="176" fontId="4" fillId="2" borderId="0" xfId="0" applyNumberFormat="1" applyFont="1" applyFill="1"/>
    <xf numFmtId="49" fontId="5" fillId="0" borderId="0" xfId="0" applyNumberFormat="1" applyFont="1" applyAlignment="1">
      <alignment horizontal="left" indent="1"/>
    </xf>
    <xf numFmtId="0" fontId="0" fillId="3" borderId="0" xfId="0" applyFill="1"/>
    <xf numFmtId="0" fontId="4" fillId="0" borderId="15" xfId="0" applyFont="1" applyBorder="1" applyAlignment="1">
      <alignment horizontal="left"/>
    </xf>
    <xf numFmtId="177" fontId="5" fillId="0" borderId="0" xfId="0" applyNumberFormat="1" applyFont="1" applyAlignment="1">
      <alignment horizontal="right"/>
    </xf>
    <xf numFmtId="187" fontId="4" fillId="0" borderId="6" xfId="0" applyNumberFormat="1" applyFont="1" applyBorder="1" applyAlignment="1">
      <alignment horizontal="right"/>
    </xf>
    <xf numFmtId="179" fontId="13" fillId="0" borderId="0" xfId="0" applyNumberFormat="1" applyFont="1"/>
    <xf numFmtId="176" fontId="13" fillId="0" borderId="0" xfId="0" applyNumberFormat="1" applyFont="1"/>
    <xf numFmtId="189" fontId="7" fillId="0" borderId="0" xfId="0" applyNumberFormat="1" applyFont="1" applyAlignment="1">
      <alignment horizontal="right"/>
    </xf>
    <xf numFmtId="176" fontId="4" fillId="2" borderId="12" xfId="0" applyNumberFormat="1" applyFont="1" applyFill="1" applyBorder="1" applyAlignment="1">
      <alignment vertical="center"/>
    </xf>
    <xf numFmtId="0" fontId="26" fillId="0" borderId="0" xfId="0" applyFont="1"/>
    <xf numFmtId="49" fontId="23" fillId="0" borderId="0" xfId="0" applyNumberFormat="1" applyFont="1" applyAlignment="1">
      <alignment vertical="center"/>
    </xf>
    <xf numFmtId="0" fontId="15" fillId="0" borderId="0" xfId="0" applyFont="1" applyAlignment="1">
      <alignment vertical="center"/>
    </xf>
    <xf numFmtId="197" fontId="7" fillId="0" borderId="0" xfId="0" applyNumberFormat="1" applyFont="1" applyAlignment="1">
      <alignment horizontal="right" vertical="center"/>
    </xf>
    <xf numFmtId="198" fontId="4" fillId="0" borderId="0" xfId="0" applyNumberFormat="1" applyFont="1" applyAlignment="1">
      <alignment horizontal="right" vertical="center"/>
    </xf>
    <xf numFmtId="199" fontId="4" fillId="0" borderId="0" xfId="4" applyNumberFormat="1" applyFont="1" applyFill="1" applyBorder="1" applyAlignment="1" applyProtection="1">
      <alignment horizontal="right" vertical="center"/>
      <protection locked="0"/>
    </xf>
    <xf numFmtId="191" fontId="25" fillId="0" borderId="0" xfId="2" applyNumberFormat="1" applyFont="1" applyAlignment="1" applyProtection="1">
      <alignment vertical="center"/>
      <protection locked="0"/>
    </xf>
    <xf numFmtId="176" fontId="7" fillId="0" borderId="0" xfId="0" applyNumberFormat="1" applyFont="1" applyAlignment="1">
      <alignment vertical="center"/>
    </xf>
    <xf numFmtId="180" fontId="23" fillId="0" borderId="2" xfId="1" applyNumberFormat="1" applyFont="1" applyFill="1" applyBorder="1" applyAlignment="1">
      <alignment horizontal="right"/>
    </xf>
    <xf numFmtId="176" fontId="40" fillId="0" borderId="0" xfId="0" applyNumberFormat="1" applyFont="1" applyAlignment="1">
      <alignment horizontal="left"/>
    </xf>
    <xf numFmtId="180" fontId="4" fillId="0" borderId="6" xfId="1" applyNumberFormat="1" applyFont="1" applyFill="1" applyBorder="1" applyAlignment="1">
      <alignment horizontal="right"/>
    </xf>
    <xf numFmtId="176" fontId="4" fillId="0" borderId="3" xfId="0" applyNumberFormat="1" applyFont="1" applyBorder="1"/>
    <xf numFmtId="201" fontId="42" fillId="0" borderId="0" xfId="1" applyNumberFormat="1" applyFont="1" applyFill="1" applyBorder="1" applyAlignment="1">
      <alignment horizontal="right"/>
    </xf>
    <xf numFmtId="176" fontId="7" fillId="0" borderId="0" xfId="0" applyNumberFormat="1" applyFont="1" applyAlignment="1">
      <alignment horizontal="right"/>
    </xf>
    <xf numFmtId="176" fontId="4" fillId="2" borderId="0" xfId="0" applyNumberFormat="1" applyFont="1" applyFill="1" applyAlignment="1">
      <alignment horizontal="right"/>
    </xf>
    <xf numFmtId="176" fontId="7" fillId="0" borderId="7" xfId="0" applyNumberFormat="1" applyFont="1" applyBorder="1" applyAlignment="1">
      <alignment horizontal="right"/>
    </xf>
    <xf numFmtId="176" fontId="4" fillId="2" borderId="7" xfId="0" applyNumberFormat="1" applyFont="1" applyFill="1" applyBorder="1" applyAlignment="1">
      <alignment horizontal="right"/>
    </xf>
    <xf numFmtId="176" fontId="4" fillId="0" borderId="0" xfId="0" applyNumberFormat="1" applyFont="1" applyAlignment="1">
      <alignment horizontal="right"/>
    </xf>
    <xf numFmtId="180" fontId="4" fillId="2" borderId="0" xfId="3" applyNumberFormat="1" applyFont="1" applyFill="1" applyBorder="1" applyAlignment="1">
      <alignment horizontal="right"/>
    </xf>
    <xf numFmtId="180" fontId="4" fillId="0" borderId="0" xfId="3" applyNumberFormat="1" applyFont="1" applyFill="1" applyBorder="1" applyAlignment="1">
      <alignment horizontal="right"/>
    </xf>
    <xf numFmtId="182" fontId="7" fillId="0" borderId="0" xfId="0" applyNumberFormat="1" applyFont="1"/>
    <xf numFmtId="182" fontId="4" fillId="2" borderId="0" xfId="0" applyNumberFormat="1" applyFont="1" applyFill="1"/>
    <xf numFmtId="182" fontId="4" fillId="0" borderId="0" xfId="0" applyNumberFormat="1" applyFont="1"/>
    <xf numFmtId="0" fontId="26" fillId="0" borderId="0" xfId="0" applyFont="1" applyAlignment="1">
      <alignment horizontal="center"/>
    </xf>
    <xf numFmtId="0" fontId="4" fillId="0" borderId="1" xfId="0" applyFont="1" applyBorder="1" applyAlignment="1">
      <alignment horizontal="left" indent="1"/>
    </xf>
    <xf numFmtId="0" fontId="26" fillId="0" borderId="8" xfId="0" applyFont="1" applyBorder="1"/>
    <xf numFmtId="202" fontId="44" fillId="0" borderId="0" xfId="5" applyNumberFormat="1" applyFont="1" applyAlignment="1" applyProtection="1">
      <alignment horizontal="center" vertical="center"/>
      <protection hidden="1"/>
    </xf>
    <xf numFmtId="187" fontId="17" fillId="2" borderId="8" xfId="0" applyNumberFormat="1" applyFont="1" applyFill="1" applyBorder="1" applyAlignment="1">
      <alignment horizontal="right"/>
    </xf>
    <xf numFmtId="0" fontId="4" fillId="0" borderId="5" xfId="0" applyFont="1" applyBorder="1" applyAlignment="1">
      <alignment horizontal="left" indent="1"/>
    </xf>
    <xf numFmtId="0" fontId="26" fillId="0" borderId="7" xfId="0" applyFont="1" applyBorder="1"/>
    <xf numFmtId="176" fontId="4" fillId="2" borderId="6" xfId="0" applyNumberFormat="1" applyFont="1" applyFill="1" applyBorder="1"/>
    <xf numFmtId="0" fontId="4" fillId="0" borderId="15" xfId="0" applyFont="1" applyBorder="1" applyAlignment="1">
      <alignment horizontal="left" indent="1"/>
    </xf>
    <xf numFmtId="0" fontId="46" fillId="0" borderId="0" xfId="0" applyFont="1"/>
    <xf numFmtId="0" fontId="15" fillId="0" borderId="0" xfId="0" applyFont="1" applyAlignment="1">
      <alignment horizontal="right"/>
    </xf>
    <xf numFmtId="0" fontId="10" fillId="0" borderId="0" xfId="0" applyFont="1" applyAlignment="1">
      <alignment horizontal="right" vertical="center"/>
    </xf>
    <xf numFmtId="203" fontId="13" fillId="0" borderId="0" xfId="0" applyNumberFormat="1" applyFont="1" applyAlignment="1">
      <alignment horizontal="right"/>
    </xf>
    <xf numFmtId="37" fontId="7" fillId="0" borderId="0" xfId="0" applyNumberFormat="1" applyFont="1" applyAlignment="1">
      <alignment horizontal="left" vertical="center"/>
    </xf>
    <xf numFmtId="181" fontId="4" fillId="2" borderId="0" xfId="1" applyNumberFormat="1" applyFont="1" applyFill="1" applyBorder="1" applyAlignment="1">
      <alignment horizontal="center" vertical="center"/>
    </xf>
    <xf numFmtId="182" fontId="4" fillId="2" borderId="0" xfId="0" applyNumberFormat="1" applyFont="1" applyFill="1" applyAlignment="1">
      <alignment horizontal="center" vertical="center"/>
    </xf>
    <xf numFmtId="180" fontId="4" fillId="0" borderId="0" xfId="0" applyNumberFormat="1" applyFont="1" applyAlignment="1">
      <alignment vertical="center"/>
    </xf>
    <xf numFmtId="181" fontId="4" fillId="0" borderId="0" xfId="1" applyNumberFormat="1" applyFont="1" applyBorder="1" applyAlignment="1">
      <alignment vertical="center"/>
    </xf>
    <xf numFmtId="182" fontId="4" fillId="0" borderId="0" xfId="0" applyNumberFormat="1" applyFont="1" applyAlignment="1">
      <alignment horizontal="right" vertical="center"/>
    </xf>
    <xf numFmtId="0" fontId="25" fillId="0" borderId="0" xfId="0" applyFont="1" applyAlignment="1">
      <alignment vertical="center"/>
    </xf>
    <xf numFmtId="180" fontId="7" fillId="0" borderId="0" xfId="0" applyNumberFormat="1" applyFont="1" applyAlignment="1">
      <alignment vertical="center"/>
    </xf>
    <xf numFmtId="180" fontId="4" fillId="2" borderId="0" xfId="0" applyNumberFormat="1" applyFont="1" applyFill="1" applyAlignment="1">
      <alignment vertical="center"/>
    </xf>
    <xf numFmtId="49" fontId="4" fillId="0" borderId="0" xfId="0" applyNumberFormat="1" applyFont="1" applyAlignment="1">
      <alignment horizontal="left" indent="1"/>
    </xf>
    <xf numFmtId="182" fontId="4" fillId="2" borderId="7" xfId="0" applyNumberFormat="1" applyFont="1" applyFill="1" applyBorder="1" applyAlignment="1">
      <alignment horizontal="right" vertical="center"/>
    </xf>
    <xf numFmtId="180" fontId="7" fillId="0" borderId="7" xfId="0" applyNumberFormat="1" applyFont="1" applyBorder="1" applyAlignment="1">
      <alignment vertical="center"/>
    </xf>
    <xf numFmtId="176" fontId="32" fillId="0" borderId="17" xfId="0" applyNumberFormat="1" applyFont="1" applyBorder="1" applyAlignment="1">
      <alignment horizontal="right" vertical="center"/>
    </xf>
    <xf numFmtId="176" fontId="7" fillId="0" borderId="7" xfId="0" applyNumberFormat="1" applyFont="1" applyBorder="1" applyAlignment="1">
      <alignment vertical="center"/>
    </xf>
    <xf numFmtId="180" fontId="4" fillId="2" borderId="7" xfId="0" applyNumberFormat="1" applyFont="1" applyFill="1" applyBorder="1" applyAlignment="1">
      <alignment vertical="center"/>
    </xf>
    <xf numFmtId="176" fontId="4" fillId="0" borderId="0" xfId="0" applyNumberFormat="1" applyFont="1" applyAlignment="1">
      <alignment vertical="center"/>
    </xf>
    <xf numFmtId="0" fontId="17" fillId="0" borderId="0" xfId="0" applyFont="1" applyAlignment="1">
      <alignment horizontal="left" indent="1"/>
    </xf>
    <xf numFmtId="0" fontId="52" fillId="0" borderId="0" xfId="0" applyFont="1"/>
    <xf numFmtId="181" fontId="17" fillId="2" borderId="0" xfId="1" applyNumberFormat="1" applyFont="1" applyFill="1" applyBorder="1" applyAlignment="1">
      <alignment vertical="center"/>
    </xf>
    <xf numFmtId="204" fontId="53" fillId="0" borderId="0" xfId="0" applyNumberFormat="1" applyFont="1" applyAlignment="1">
      <alignment horizontal="left" indent="1"/>
    </xf>
    <xf numFmtId="0" fontId="38" fillId="0" borderId="0" xfId="0" applyFont="1"/>
    <xf numFmtId="205" fontId="53" fillId="0" borderId="0" xfId="0" applyNumberFormat="1" applyFont="1" applyAlignment="1">
      <alignment horizontal="left" indent="1"/>
    </xf>
    <xf numFmtId="206" fontId="53" fillId="0" borderId="0" xfId="0" applyNumberFormat="1" applyFont="1" applyAlignment="1">
      <alignment horizontal="left" indent="1"/>
    </xf>
    <xf numFmtId="207" fontId="53" fillId="0" borderId="0" xfId="0" applyNumberFormat="1" applyFont="1" applyAlignment="1">
      <alignment horizontal="left" indent="1"/>
    </xf>
    <xf numFmtId="0" fontId="13" fillId="0" borderId="0" xfId="0" applyFont="1" applyAlignment="1">
      <alignment horizontal="left" vertical="center"/>
    </xf>
    <xf numFmtId="0" fontId="0" fillId="4" borderId="0" xfId="0" applyFill="1" applyAlignment="1">
      <alignment horizontal="center" vertical="center"/>
    </xf>
    <xf numFmtId="0" fontId="0" fillId="4" borderId="0" xfId="0" applyFill="1"/>
    <xf numFmtId="37" fontId="10" fillId="4" borderId="0" xfId="0" applyNumberFormat="1" applyFont="1" applyFill="1" applyAlignment="1">
      <alignment vertical="center"/>
    </xf>
    <xf numFmtId="37" fontId="23" fillId="4" borderId="0" xfId="0" applyNumberFormat="1" applyFont="1" applyFill="1" applyAlignment="1">
      <alignment vertical="center"/>
    </xf>
    <xf numFmtId="177" fontId="10" fillId="4" borderId="0" xfId="0" applyNumberFormat="1" applyFont="1" applyFill="1" applyAlignment="1">
      <alignment horizontal="right"/>
    </xf>
    <xf numFmtId="194" fontId="9" fillId="4" borderId="0" xfId="0" applyNumberFormat="1" applyFont="1" applyFill="1" applyAlignment="1">
      <alignment horizontal="centerContinuous"/>
    </xf>
    <xf numFmtId="194" fontId="8" fillId="4" borderId="0" xfId="0" applyNumberFormat="1" applyFont="1" applyFill="1" applyAlignment="1">
      <alignment horizontal="centerContinuous"/>
    </xf>
    <xf numFmtId="176" fontId="4" fillId="0" borderId="15" xfId="0" applyNumberFormat="1" applyFont="1" applyBorder="1" applyAlignment="1">
      <alignment horizontal="center" vertical="center"/>
    </xf>
    <xf numFmtId="176" fontId="4" fillId="0" borderId="5" xfId="0" applyNumberFormat="1" applyFont="1" applyBorder="1" applyAlignment="1">
      <alignment horizontal="center" vertical="center"/>
    </xf>
    <xf numFmtId="10" fontId="4" fillId="0" borderId="0" xfId="0" applyNumberFormat="1" applyFont="1" applyAlignment="1">
      <alignment horizontal="center" vertical="center"/>
    </xf>
    <xf numFmtId="10" fontId="5" fillId="0" borderId="0" xfId="0" applyNumberFormat="1" applyFont="1" applyAlignment="1">
      <alignment horizontal="center" vertical="center"/>
    </xf>
    <xf numFmtId="179" fontId="5" fillId="0" borderId="0" xfId="0" applyNumberFormat="1" applyFont="1" applyAlignment="1">
      <alignment horizontal="center" vertical="center"/>
    </xf>
    <xf numFmtId="176" fontId="5" fillId="2" borderId="0" xfId="0" applyNumberFormat="1" applyFont="1" applyFill="1" applyAlignment="1">
      <alignment horizontal="center" vertical="center"/>
    </xf>
    <xf numFmtId="40" fontId="5" fillId="0" borderId="0" xfId="0" applyNumberFormat="1" applyFont="1" applyAlignment="1">
      <alignment horizontal="center" vertical="center"/>
    </xf>
    <xf numFmtId="38" fontId="5" fillId="0" borderId="0" xfId="0" applyNumberFormat="1" applyFont="1" applyAlignment="1">
      <alignment horizontal="center" vertical="center"/>
    </xf>
    <xf numFmtId="179" fontId="30" fillId="0" borderId="0" xfId="0" applyNumberFormat="1" applyFont="1" applyAlignment="1">
      <alignment horizontal="center" vertical="center"/>
    </xf>
    <xf numFmtId="176" fontId="13" fillId="0" borderId="12" xfId="0" applyNumberFormat="1" applyFont="1" applyBorder="1" applyAlignment="1">
      <alignment horizontal="center" vertical="center"/>
    </xf>
    <xf numFmtId="0" fontId="54" fillId="4" borderId="0" xfId="0" applyFont="1" applyFill="1" applyAlignment="1">
      <alignment horizontal="left" vertical="center"/>
    </xf>
    <xf numFmtId="183" fontId="2" fillId="0" borderId="19" xfId="0" applyNumberFormat="1" applyFont="1" applyBorder="1" applyAlignment="1">
      <alignment horizontal="center" vertical="center"/>
    </xf>
    <xf numFmtId="184" fontId="2" fillId="0" borderId="19" xfId="0" applyNumberFormat="1" applyFont="1" applyBorder="1" applyAlignment="1">
      <alignment horizontal="center" vertical="center"/>
    </xf>
    <xf numFmtId="0" fontId="2" fillId="0" borderId="19" xfId="0" applyFont="1" applyBorder="1" applyAlignment="1">
      <alignment horizontal="center" vertical="center"/>
    </xf>
    <xf numFmtId="185" fontId="8" fillId="0" borderId="19" xfId="0" applyNumberFormat="1" applyFont="1" applyBorder="1" applyAlignment="1">
      <alignment horizontal="right"/>
    </xf>
    <xf numFmtId="0" fontId="54" fillId="0" borderId="0" xfId="0" applyFont="1" applyAlignment="1">
      <alignment horizontal="left" vertical="center"/>
    </xf>
    <xf numFmtId="0" fontId="2" fillId="0" borderId="0" xfId="0" applyFont="1"/>
    <xf numFmtId="0" fontId="2" fillId="0" borderId="0" xfId="0" applyFont="1" applyAlignment="1">
      <alignment vertical="center" wrapText="1"/>
    </xf>
    <xf numFmtId="0" fontId="23" fillId="0" borderId="20" xfId="0" applyFont="1" applyBorder="1"/>
    <xf numFmtId="0" fontId="0" fillId="0" borderId="20" xfId="0" applyBorder="1"/>
    <xf numFmtId="176" fontId="13" fillId="0" borderId="0" xfId="0" applyNumberFormat="1" applyFont="1" applyAlignment="1">
      <alignment horizontal="right"/>
    </xf>
    <xf numFmtId="0" fontId="13" fillId="0" borderId="19" xfId="0" applyFont="1" applyBorder="1" applyAlignment="1">
      <alignment horizontal="left"/>
    </xf>
    <xf numFmtId="49" fontId="13" fillId="0" borderId="19" xfId="0" applyNumberFormat="1" applyFont="1" applyBorder="1" applyAlignment="1">
      <alignment horizontal="left"/>
    </xf>
    <xf numFmtId="177" fontId="8" fillId="0" borderId="21" xfId="0" applyNumberFormat="1" applyFont="1" applyBorder="1" applyAlignment="1">
      <alignment horizontal="left"/>
    </xf>
    <xf numFmtId="180" fontId="4" fillId="0" borderId="21" xfId="0" applyNumberFormat="1" applyFont="1" applyBorder="1" applyAlignment="1">
      <alignment horizontal="center" vertical="center"/>
    </xf>
    <xf numFmtId="180" fontId="4" fillId="0" borderId="21" xfId="1" applyNumberFormat="1" applyFont="1" applyFill="1" applyBorder="1" applyAlignment="1">
      <alignment horizontal="center" vertical="center"/>
    </xf>
    <xf numFmtId="182" fontId="4" fillId="0" borderId="21" xfId="0" applyNumberFormat="1" applyFont="1" applyBorder="1" applyAlignment="1">
      <alignment horizontal="center" vertical="center"/>
    </xf>
    <xf numFmtId="177" fontId="8" fillId="0" borderId="20" xfId="0" applyNumberFormat="1" applyFont="1" applyBorder="1" applyAlignment="1">
      <alignment horizontal="left"/>
    </xf>
    <xf numFmtId="180" fontId="4" fillId="0" borderId="20" xfId="0" applyNumberFormat="1" applyFont="1" applyBorder="1" applyAlignment="1">
      <alignment horizontal="center" vertical="center"/>
    </xf>
    <xf numFmtId="180" fontId="4" fillId="0" borderId="20" xfId="1" applyNumberFormat="1" applyFont="1" applyFill="1" applyBorder="1" applyAlignment="1">
      <alignment horizontal="center" vertical="center"/>
    </xf>
    <xf numFmtId="182" fontId="4" fillId="0" borderId="20" xfId="0" applyNumberFormat="1" applyFont="1" applyBorder="1" applyAlignment="1">
      <alignment horizontal="center" vertical="center"/>
    </xf>
    <xf numFmtId="0" fontId="13" fillId="0" borderId="20" xfId="0" applyFont="1" applyBorder="1" applyAlignment="1">
      <alignment horizontal="left"/>
    </xf>
    <xf numFmtId="0" fontId="15" fillId="0" borderId="20" xfId="0" applyFont="1" applyBorder="1"/>
    <xf numFmtId="37" fontId="10" fillId="0" borderId="20" xfId="0" applyNumberFormat="1" applyFont="1" applyBorder="1" applyAlignment="1">
      <alignment vertical="center"/>
    </xf>
    <xf numFmtId="0" fontId="18" fillId="0" borderId="20" xfId="0" applyFont="1" applyBorder="1"/>
    <xf numFmtId="176" fontId="13" fillId="0" borderId="20" xfId="0" applyNumberFormat="1" applyFont="1" applyBorder="1" applyAlignment="1">
      <alignment horizontal="right"/>
    </xf>
    <xf numFmtId="176" fontId="32" fillId="0" borderId="19" xfId="0" applyNumberFormat="1" applyFont="1" applyBorder="1" applyAlignment="1">
      <alignment horizontal="right" vertical="center"/>
    </xf>
    <xf numFmtId="180" fontId="4" fillId="2" borderId="22" xfId="0" applyNumberFormat="1" applyFont="1" applyFill="1" applyBorder="1" applyAlignment="1">
      <alignment vertical="center"/>
    </xf>
    <xf numFmtId="9" fontId="7" fillId="0" borderId="0" xfId="0" applyNumberFormat="1" applyFont="1" applyAlignment="1">
      <alignment horizontal="center" vertical="center"/>
    </xf>
    <xf numFmtId="0" fontId="55" fillId="0" borderId="20" xfId="0" applyFont="1" applyBorder="1" applyAlignment="1">
      <alignment horizontal="left" vertical="center"/>
    </xf>
    <xf numFmtId="176" fontId="4" fillId="2" borderId="0" xfId="0" applyNumberFormat="1" applyFont="1" applyFill="1" applyAlignment="1">
      <alignment vertical="center"/>
    </xf>
    <xf numFmtId="176" fontId="0" fillId="0" borderId="0" xfId="0" applyNumberFormat="1"/>
    <xf numFmtId="178" fontId="56" fillId="0" borderId="0" xfId="0" applyNumberFormat="1" applyFont="1" applyAlignment="1">
      <alignment vertical="center"/>
    </xf>
    <xf numFmtId="37" fontId="57" fillId="0" borderId="0" xfId="0" applyNumberFormat="1" applyFont="1" applyAlignment="1">
      <alignment vertical="center"/>
    </xf>
    <xf numFmtId="37" fontId="58" fillId="0" borderId="0" xfId="0" applyNumberFormat="1" applyFont="1" applyAlignment="1">
      <alignment vertical="center"/>
    </xf>
    <xf numFmtId="180" fontId="23" fillId="0" borderId="7" xfId="0" applyNumberFormat="1" applyFont="1" applyBorder="1" applyAlignment="1">
      <alignment vertical="center"/>
    </xf>
    <xf numFmtId="39" fontId="7" fillId="0" borderId="0" xfId="0" applyNumberFormat="1" applyFont="1" applyAlignment="1">
      <alignment horizontal="center" vertical="center"/>
    </xf>
    <xf numFmtId="0" fontId="48" fillId="0" borderId="0" xfId="0" applyFont="1" applyAlignment="1">
      <alignment horizontal="left"/>
    </xf>
    <xf numFmtId="0" fontId="49" fillId="0" borderId="0" xfId="0" applyFont="1" applyAlignment="1">
      <alignment horizontal="left"/>
    </xf>
    <xf numFmtId="176" fontId="8" fillId="0" borderId="16" xfId="0" applyNumberFormat="1" applyFont="1" applyBorder="1" applyAlignment="1">
      <alignment horizontal="left"/>
    </xf>
    <xf numFmtId="176" fontId="13" fillId="0" borderId="16" xfId="0" applyNumberFormat="1" applyFont="1" applyBorder="1" applyAlignment="1">
      <alignment horizontal="left"/>
    </xf>
    <xf numFmtId="176" fontId="13" fillId="0" borderId="19" xfId="0" applyNumberFormat="1" applyFont="1" applyBorder="1" applyAlignment="1">
      <alignment horizontal="left"/>
    </xf>
    <xf numFmtId="0" fontId="32" fillId="0" borderId="19" xfId="0" applyFont="1" applyBorder="1" applyAlignment="1">
      <alignment horizontal="left"/>
    </xf>
    <xf numFmtId="0" fontId="23" fillId="0" borderId="16" xfId="0" applyFont="1" applyBorder="1" applyAlignment="1">
      <alignment vertical="center"/>
    </xf>
    <xf numFmtId="0" fontId="28" fillId="0" borderId="16" xfId="0" quotePrefix="1" applyFont="1" applyBorder="1" applyAlignment="1">
      <alignment horizontal="center" vertical="center"/>
    </xf>
    <xf numFmtId="176" fontId="7" fillId="0" borderId="16" xfId="3" applyNumberFormat="1" applyFont="1" applyFill="1" applyBorder="1" applyAlignment="1">
      <alignment vertical="center"/>
    </xf>
    <xf numFmtId="0" fontId="47" fillId="0" borderId="0" xfId="0" quotePrefix="1" applyFont="1" applyAlignment="1">
      <alignment horizontal="center" vertical="center"/>
    </xf>
    <xf numFmtId="182" fontId="7" fillId="0" borderId="0" xfId="1" applyNumberFormat="1" applyFont="1" applyFill="1" applyBorder="1" applyAlignment="1">
      <alignment horizontal="right" vertical="center"/>
    </xf>
    <xf numFmtId="180" fontId="7" fillId="0" borderId="0" xfId="1" applyNumberFormat="1" applyFont="1" applyFill="1" applyBorder="1" applyAlignment="1">
      <alignment vertical="center"/>
    </xf>
    <xf numFmtId="208" fontId="7" fillId="0" borderId="0" xfId="3" applyNumberFormat="1" applyFont="1" applyFill="1" applyBorder="1" applyAlignment="1">
      <alignment vertical="center"/>
    </xf>
    <xf numFmtId="180" fontId="4" fillId="2" borderId="0" xfId="1" applyNumberFormat="1" applyFont="1" applyFill="1" applyBorder="1" applyAlignment="1">
      <alignment vertical="center"/>
    </xf>
    <xf numFmtId="209" fontId="23" fillId="2" borderId="0" xfId="4" applyNumberFormat="1" applyFont="1" applyFill="1" applyBorder="1" applyAlignment="1" applyProtection="1">
      <alignment horizontal="right" vertical="center"/>
      <protection locked="0"/>
    </xf>
    <xf numFmtId="10" fontId="21" fillId="0" borderId="0" xfId="0" applyNumberFormat="1" applyFont="1" applyAlignment="1">
      <alignment horizontal="center" vertical="center"/>
    </xf>
    <xf numFmtId="176" fontId="40" fillId="0" borderId="10" xfId="0" applyNumberFormat="1" applyFont="1" applyBorder="1" applyAlignment="1">
      <alignment horizontal="center"/>
    </xf>
    <xf numFmtId="182" fontId="4" fillId="2" borderId="9" xfId="3" applyNumberFormat="1" applyFont="1" applyFill="1" applyBorder="1" applyAlignment="1">
      <alignment horizontal="center"/>
    </xf>
    <xf numFmtId="208" fontId="4" fillId="0" borderId="2" xfId="1" applyNumberFormat="1" applyFont="1" applyFill="1" applyBorder="1" applyAlignment="1">
      <alignment horizontal="right"/>
    </xf>
    <xf numFmtId="191" fontId="15" fillId="0" borderId="0" xfId="2" applyNumberFormat="1" applyFont="1" applyProtection="1">
      <protection locked="0"/>
    </xf>
    <xf numFmtId="177" fontId="49" fillId="0" borderId="0" xfId="0" applyNumberFormat="1" applyFont="1" applyAlignment="1">
      <alignment horizontal="right"/>
    </xf>
    <xf numFmtId="179" fontId="7" fillId="2" borderId="0" xfId="0" applyNumberFormat="1" applyFont="1" applyFill="1" applyAlignment="1">
      <alignment horizontal="center"/>
    </xf>
    <xf numFmtId="178" fontId="38" fillId="0" borderId="0" xfId="0" applyNumberFormat="1" applyFont="1" applyAlignment="1">
      <alignment horizontal="left" vertical="center"/>
    </xf>
    <xf numFmtId="0" fontId="15" fillId="0" borderId="0" xfId="0" applyFont="1" applyAlignment="1">
      <alignment horizontal="centerContinuous"/>
    </xf>
    <xf numFmtId="0" fontId="18" fillId="0" borderId="16" xfId="0" applyFont="1" applyBorder="1"/>
    <xf numFmtId="0" fontId="15" fillId="0" borderId="16" xfId="0" applyFont="1" applyBorder="1"/>
    <xf numFmtId="0" fontId="13" fillId="0" borderId="0" xfId="0" applyFont="1" applyAlignment="1">
      <alignment horizontal="center" vertical="center"/>
    </xf>
    <xf numFmtId="180" fontId="4" fillId="0" borderId="0" xfId="1" applyNumberFormat="1" applyFont="1" applyFill="1" applyBorder="1" applyAlignment="1">
      <alignment horizontal="right" vertical="center"/>
    </xf>
    <xf numFmtId="202" fontId="60" fillId="0" borderId="0" xfId="5" applyNumberFormat="1" applyFont="1" applyAlignment="1" applyProtection="1">
      <alignment horizontal="center" vertical="center"/>
      <protection hidden="1"/>
    </xf>
    <xf numFmtId="0" fontId="15" fillId="0" borderId="0" xfId="0" applyFont="1" applyAlignment="1">
      <alignment horizontal="center"/>
    </xf>
    <xf numFmtId="0" fontId="6" fillId="0" borderId="0" xfId="0" applyFont="1"/>
    <xf numFmtId="0" fontId="7" fillId="0" borderId="0" xfId="0" applyFont="1" applyAlignment="1">
      <alignment vertical="center"/>
    </xf>
    <xf numFmtId="177" fontId="61" fillId="0" borderId="0" xfId="0" applyNumberFormat="1" applyFont="1" applyAlignment="1">
      <alignment horizontal="right"/>
    </xf>
    <xf numFmtId="37" fontId="62" fillId="0" borderId="0" xfId="0" applyNumberFormat="1" applyFont="1" applyAlignment="1">
      <alignment vertical="center"/>
    </xf>
    <xf numFmtId="0" fontId="64" fillId="0" borderId="0" xfId="0" applyFont="1" applyAlignment="1">
      <alignment horizontal="left"/>
    </xf>
    <xf numFmtId="0" fontId="65" fillId="0" borderId="0" xfId="0" applyFont="1"/>
    <xf numFmtId="181" fontId="4" fillId="0" borderId="0" xfId="1" applyNumberFormat="1" applyFont="1" applyFill="1" applyBorder="1" applyAlignment="1">
      <alignment vertical="center"/>
    </xf>
    <xf numFmtId="0" fontId="26" fillId="0" borderId="0" xfId="0" applyFont="1" applyAlignment="1">
      <alignment horizontal="centerContinuous"/>
    </xf>
    <xf numFmtId="0" fontId="26" fillId="0" borderId="16" xfId="0" applyFont="1" applyBorder="1"/>
    <xf numFmtId="0" fontId="15" fillId="0" borderId="0" xfId="0" applyFont="1" applyAlignment="1">
      <alignment horizontal="left"/>
    </xf>
    <xf numFmtId="0" fontId="66" fillId="0" borderId="0" xfId="0" applyFont="1" applyAlignment="1">
      <alignment horizontal="left"/>
    </xf>
    <xf numFmtId="0" fontId="23" fillId="0" borderId="0" xfId="0" applyFont="1" applyAlignment="1">
      <alignment horizontal="centerContinuous" vertical="center"/>
    </xf>
    <xf numFmtId="0" fontId="26" fillId="0" borderId="0" xfId="0" applyFont="1" applyAlignment="1">
      <alignment horizontal="left"/>
    </xf>
    <xf numFmtId="0" fontId="4" fillId="0" borderId="0" xfId="0" applyFont="1" applyAlignment="1">
      <alignment horizontal="centerContinuous" vertical="center"/>
    </xf>
    <xf numFmtId="180" fontId="17" fillId="0" borderId="0" xfId="1" applyNumberFormat="1" applyFont="1" applyFill="1" applyBorder="1" applyAlignment="1">
      <alignment horizontal="right" vertical="center"/>
    </xf>
    <xf numFmtId="189" fontId="4" fillId="0" borderId="0" xfId="0" applyNumberFormat="1" applyFont="1" applyAlignment="1">
      <alignment horizontal="right"/>
    </xf>
    <xf numFmtId="176" fontId="4" fillId="2" borderId="1" xfId="3" applyNumberFormat="1" applyFont="1" applyFill="1" applyBorder="1" applyAlignment="1">
      <alignment vertical="center"/>
    </xf>
    <xf numFmtId="176" fontId="4" fillId="2" borderId="8" xfId="3" applyNumberFormat="1" applyFont="1" applyFill="1" applyBorder="1" applyAlignment="1">
      <alignment vertical="center"/>
    </xf>
    <xf numFmtId="176" fontId="4" fillId="2" borderId="2" xfId="3" applyNumberFormat="1" applyFont="1" applyFill="1" applyBorder="1" applyAlignment="1">
      <alignment vertical="center"/>
    </xf>
    <xf numFmtId="182" fontId="4" fillId="2" borderId="1" xfId="3" applyNumberFormat="1" applyFont="1" applyFill="1" applyBorder="1" applyAlignment="1">
      <alignment vertical="center"/>
    </xf>
    <xf numFmtId="182" fontId="4" fillId="2" borderId="8" xfId="3" applyNumberFormat="1" applyFont="1" applyFill="1" applyBorder="1" applyAlignment="1">
      <alignment vertical="center"/>
    </xf>
    <xf numFmtId="182" fontId="4" fillId="2" borderId="2" xfId="3" applyNumberFormat="1" applyFont="1" applyFill="1" applyBorder="1" applyAlignment="1">
      <alignment vertical="center"/>
    </xf>
    <xf numFmtId="176" fontId="4" fillId="2" borderId="15" xfId="3" applyNumberFormat="1" applyFont="1" applyFill="1" applyBorder="1" applyAlignment="1">
      <alignment vertical="center"/>
    </xf>
    <xf numFmtId="176" fontId="4" fillId="2" borderId="0" xfId="3" applyNumberFormat="1" applyFont="1" applyFill="1" applyAlignment="1">
      <alignment vertical="center"/>
    </xf>
    <xf numFmtId="176" fontId="4" fillId="2" borderId="14" xfId="3" applyNumberFormat="1" applyFont="1" applyFill="1" applyBorder="1" applyAlignment="1">
      <alignment vertical="center"/>
    </xf>
    <xf numFmtId="182" fontId="4" fillId="2" borderId="15" xfId="3" applyNumberFormat="1" applyFont="1" applyFill="1" applyBorder="1" applyAlignment="1">
      <alignment vertical="center"/>
    </xf>
    <xf numFmtId="182" fontId="4" fillId="2" borderId="0" xfId="3" applyNumberFormat="1" applyFont="1" applyFill="1" applyAlignment="1">
      <alignment vertical="center"/>
    </xf>
    <xf numFmtId="182" fontId="4" fillId="2" borderId="14" xfId="3" applyNumberFormat="1" applyFont="1" applyFill="1" applyBorder="1" applyAlignment="1">
      <alignment vertical="center"/>
    </xf>
    <xf numFmtId="176" fontId="13" fillId="2" borderId="23" xfId="3" applyNumberFormat="1" applyFont="1" applyFill="1" applyBorder="1" applyAlignment="1">
      <alignment vertical="center"/>
    </xf>
    <xf numFmtId="182" fontId="13" fillId="2" borderId="23" xfId="3" applyNumberFormat="1" applyFont="1" applyFill="1" applyBorder="1" applyAlignment="1">
      <alignment vertical="center"/>
    </xf>
    <xf numFmtId="176" fontId="4" fillId="2" borderId="5" xfId="3" applyNumberFormat="1" applyFont="1" applyFill="1" applyBorder="1" applyAlignment="1">
      <alignment vertical="center"/>
    </xf>
    <xf numFmtId="176" fontId="4" fillId="2" borderId="7" xfId="3" applyNumberFormat="1" applyFont="1" applyFill="1" applyBorder="1" applyAlignment="1">
      <alignment vertical="center"/>
    </xf>
    <xf numFmtId="176" fontId="4" fillId="2" borderId="6" xfId="3" applyNumberFormat="1" applyFont="1" applyFill="1" applyBorder="1" applyAlignment="1">
      <alignment vertical="center"/>
    </xf>
    <xf numFmtId="182" fontId="4" fillId="2" borderId="5" xfId="3" applyNumberFormat="1" applyFont="1" applyFill="1" applyBorder="1" applyAlignment="1">
      <alignment vertical="center"/>
    </xf>
    <xf numFmtId="182" fontId="4" fillId="2" borderId="7" xfId="3" applyNumberFormat="1" applyFont="1" applyFill="1" applyBorder="1" applyAlignment="1">
      <alignment vertical="center"/>
    </xf>
    <xf numFmtId="182" fontId="4" fillId="2" borderId="6" xfId="3" applyNumberFormat="1" applyFont="1" applyFill="1" applyBorder="1" applyAlignment="1">
      <alignment vertical="center"/>
    </xf>
    <xf numFmtId="202" fontId="44" fillId="0" borderId="0" xfId="5" applyNumberFormat="1" applyFont="1" applyAlignment="1" applyProtection="1">
      <alignment horizontal="right" vertical="center"/>
      <protection hidden="1"/>
    </xf>
    <xf numFmtId="179" fontId="4" fillId="0" borderId="0" xfId="0" applyNumberFormat="1" applyFont="1" applyAlignment="1">
      <alignment horizontal="right"/>
    </xf>
    <xf numFmtId="180" fontId="17" fillId="0" borderId="7" xfId="1" applyNumberFormat="1" applyFont="1" applyFill="1" applyBorder="1" applyAlignment="1">
      <alignment horizontal="right" vertical="center"/>
    </xf>
    <xf numFmtId="0" fontId="4" fillId="0" borderId="0" xfId="0" applyFont="1" applyAlignment="1">
      <alignment horizontal="center" vertical="center" textRotation="90"/>
    </xf>
    <xf numFmtId="176" fontId="4" fillId="2" borderId="0" xfId="3" applyNumberFormat="1" applyFont="1" applyFill="1" applyBorder="1" applyAlignment="1">
      <alignment vertical="center"/>
    </xf>
    <xf numFmtId="180" fontId="4" fillId="2" borderId="1" xfId="3" applyNumberFormat="1" applyFont="1" applyFill="1" applyBorder="1" applyAlignment="1">
      <alignment horizontal="right" vertical="center"/>
    </xf>
    <xf numFmtId="180" fontId="4" fillId="2" borderId="8" xfId="3" applyNumberFormat="1" applyFont="1" applyFill="1" applyBorder="1" applyAlignment="1">
      <alignment horizontal="right" vertical="center"/>
    </xf>
    <xf numFmtId="180" fontId="4" fillId="2" borderId="2" xfId="3" applyNumberFormat="1" applyFont="1" applyFill="1" applyBorder="1" applyAlignment="1">
      <alignment horizontal="right" vertical="center"/>
    </xf>
    <xf numFmtId="180" fontId="4" fillId="2" borderId="15" xfId="3" applyNumberFormat="1" applyFont="1" applyFill="1" applyBorder="1" applyAlignment="1">
      <alignment horizontal="right" vertical="center"/>
    </xf>
    <xf numFmtId="180" fontId="4" fillId="2" borderId="0" xfId="3" applyNumberFormat="1" applyFont="1" applyFill="1" applyAlignment="1">
      <alignment horizontal="right" vertical="center"/>
    </xf>
    <xf numFmtId="180" fontId="4" fillId="2" borderId="14" xfId="3" applyNumberFormat="1" applyFont="1" applyFill="1" applyBorder="1" applyAlignment="1">
      <alignment horizontal="right" vertical="center"/>
    </xf>
    <xf numFmtId="180" fontId="13" fillId="2" borderId="23" xfId="3" applyNumberFormat="1" applyFont="1" applyFill="1" applyBorder="1" applyAlignment="1">
      <alignment horizontal="right" vertical="center"/>
    </xf>
    <xf numFmtId="180" fontId="4" fillId="2" borderId="5" xfId="3" applyNumberFormat="1" applyFont="1" applyFill="1" applyBorder="1" applyAlignment="1">
      <alignment horizontal="right" vertical="center"/>
    </xf>
    <xf numFmtId="180" fontId="4" fillId="2" borderId="7" xfId="3" applyNumberFormat="1" applyFont="1" applyFill="1" applyBorder="1" applyAlignment="1">
      <alignment horizontal="right" vertical="center"/>
    </xf>
    <xf numFmtId="180" fontId="4" fillId="2" borderId="6" xfId="3" applyNumberFormat="1" applyFont="1" applyFill="1" applyBorder="1" applyAlignment="1">
      <alignment horizontal="right" vertical="center"/>
    </xf>
    <xf numFmtId="176" fontId="67" fillId="0" borderId="0" xfId="3" applyNumberFormat="1" applyFont="1" applyBorder="1" applyAlignment="1">
      <alignment vertical="center"/>
    </xf>
    <xf numFmtId="0" fontId="67" fillId="0" borderId="0" xfId="0" applyFont="1" applyAlignment="1">
      <alignment horizontal="center" vertical="center" textRotation="90"/>
    </xf>
    <xf numFmtId="180" fontId="68" fillId="0" borderId="0" xfId="1" applyNumberFormat="1" applyFont="1" applyFill="1" applyBorder="1" applyAlignment="1">
      <alignment horizontal="right" vertical="center"/>
    </xf>
    <xf numFmtId="180" fontId="67" fillId="0" borderId="0" xfId="3" applyNumberFormat="1" applyFont="1" applyBorder="1" applyAlignment="1">
      <alignment horizontal="right" vertical="center"/>
    </xf>
    <xf numFmtId="0" fontId="69" fillId="0" borderId="0" xfId="0" applyFont="1" applyAlignment="1">
      <alignment vertical="center"/>
    </xf>
    <xf numFmtId="176" fontId="4" fillId="0" borderId="0" xfId="3" applyNumberFormat="1" applyFont="1" applyBorder="1" applyAlignment="1">
      <alignment vertical="center"/>
    </xf>
    <xf numFmtId="180" fontId="4" fillId="0" borderId="0" xfId="3" applyNumberFormat="1" applyFont="1" applyBorder="1" applyAlignment="1">
      <alignment horizontal="right" vertical="center"/>
    </xf>
    <xf numFmtId="204" fontId="70" fillId="0" borderId="0" xfId="0" quotePrefix="1" applyNumberFormat="1" applyFont="1" applyAlignment="1">
      <alignment horizontal="right"/>
    </xf>
    <xf numFmtId="0" fontId="15" fillId="0" borderId="7" xfId="0" applyFont="1" applyBorder="1"/>
    <xf numFmtId="179" fontId="4" fillId="2" borderId="0" xfId="0" applyNumberFormat="1" applyFont="1" applyFill="1" applyAlignment="1">
      <alignment horizontal="center"/>
    </xf>
    <xf numFmtId="208" fontId="17" fillId="0" borderId="0" xfId="1" applyNumberFormat="1" applyFont="1" applyFill="1" applyBorder="1" applyAlignment="1">
      <alignment horizontal="right" vertical="center"/>
    </xf>
    <xf numFmtId="182" fontId="4" fillId="0" borderId="1" xfId="3" applyNumberFormat="1" applyFont="1" applyFill="1" applyBorder="1" applyAlignment="1">
      <alignment vertical="center"/>
    </xf>
    <xf numFmtId="182" fontId="4" fillId="0" borderId="8" xfId="3" applyNumberFormat="1" applyFont="1" applyFill="1" applyBorder="1" applyAlignment="1">
      <alignment vertical="center"/>
    </xf>
    <xf numFmtId="182" fontId="4" fillId="0" borderId="2" xfId="3" applyNumberFormat="1" applyFont="1" applyFill="1" applyBorder="1" applyAlignment="1">
      <alignment vertical="center"/>
    </xf>
    <xf numFmtId="182" fontId="4" fillId="0" borderId="15" xfId="3" applyNumberFormat="1" applyFont="1" applyFill="1" applyBorder="1" applyAlignment="1">
      <alignment vertical="center"/>
    </xf>
    <xf numFmtId="182" fontId="4" fillId="0" borderId="0" xfId="3" applyNumberFormat="1" applyFont="1" applyFill="1" applyAlignment="1">
      <alignment vertical="center"/>
    </xf>
    <xf numFmtId="182" fontId="4" fillId="0" borderId="14" xfId="3" applyNumberFormat="1" applyFont="1" applyFill="1" applyBorder="1" applyAlignment="1">
      <alignment vertical="center"/>
    </xf>
    <xf numFmtId="182" fontId="13" fillId="0" borderId="23" xfId="3" applyNumberFormat="1" applyFont="1" applyFill="1" applyBorder="1" applyAlignment="1">
      <alignment vertical="center"/>
    </xf>
    <xf numFmtId="182" fontId="4" fillId="0" borderId="5" xfId="3" applyNumberFormat="1" applyFont="1" applyFill="1" applyBorder="1" applyAlignment="1">
      <alignment vertical="center"/>
    </xf>
    <xf numFmtId="182" fontId="4" fillId="0" borderId="7" xfId="3" applyNumberFormat="1" applyFont="1" applyFill="1" applyBorder="1" applyAlignment="1">
      <alignment vertical="center"/>
    </xf>
    <xf numFmtId="182" fontId="4" fillId="0" borderId="6" xfId="3" applyNumberFormat="1" applyFont="1" applyFill="1" applyBorder="1" applyAlignment="1">
      <alignment vertical="center"/>
    </xf>
    <xf numFmtId="176" fontId="4" fillId="0" borderId="1" xfId="3" applyNumberFormat="1" applyFont="1" applyFill="1" applyBorder="1" applyAlignment="1">
      <alignment vertical="center"/>
    </xf>
    <xf numFmtId="176" fontId="4" fillId="0" borderId="8" xfId="3" applyNumberFormat="1" applyFont="1" applyFill="1" applyBorder="1" applyAlignment="1">
      <alignment vertical="center"/>
    </xf>
    <xf numFmtId="176" fontId="4" fillId="0" borderId="2" xfId="3" applyNumberFormat="1" applyFont="1" applyFill="1" applyBorder="1" applyAlignment="1">
      <alignment vertical="center"/>
    </xf>
    <xf numFmtId="180" fontId="4" fillId="0" borderId="1" xfId="3" applyNumberFormat="1" applyFont="1" applyFill="1" applyBorder="1" applyAlignment="1">
      <alignment horizontal="right" vertical="center"/>
    </xf>
    <xf numFmtId="180" fontId="4" fillId="0" borderId="8" xfId="3" applyNumberFormat="1" applyFont="1" applyFill="1" applyBorder="1" applyAlignment="1">
      <alignment horizontal="right" vertical="center"/>
    </xf>
    <xf numFmtId="180" fontId="4" fillId="0" borderId="2" xfId="3" applyNumberFormat="1" applyFont="1" applyFill="1" applyBorder="1" applyAlignment="1">
      <alignment horizontal="right" vertical="center"/>
    </xf>
    <xf numFmtId="176" fontId="4" fillId="0" borderId="15" xfId="3" applyNumberFormat="1" applyFont="1" applyFill="1" applyBorder="1" applyAlignment="1">
      <alignment vertical="center"/>
    </xf>
    <xf numFmtId="176" fontId="4" fillId="0" borderId="0" xfId="3" applyNumberFormat="1" applyFont="1" applyFill="1" applyAlignment="1">
      <alignment vertical="center"/>
    </xf>
    <xf numFmtId="176" fontId="4" fillId="0" borderId="14" xfId="3" applyNumberFormat="1" applyFont="1" applyFill="1" applyBorder="1" applyAlignment="1">
      <alignment vertical="center"/>
    </xf>
    <xf numFmtId="180" fontId="4" fillId="0" borderId="15" xfId="3" applyNumberFormat="1" applyFont="1" applyFill="1" applyBorder="1" applyAlignment="1">
      <alignment horizontal="right" vertical="center"/>
    </xf>
    <xf numFmtId="180" fontId="4" fillId="0" borderId="0" xfId="3" applyNumberFormat="1" applyFont="1" applyFill="1" applyAlignment="1">
      <alignment horizontal="right" vertical="center"/>
    </xf>
    <xf numFmtId="180" fontId="4" fillId="0" borderId="14" xfId="3" applyNumberFormat="1" applyFont="1" applyFill="1" applyBorder="1" applyAlignment="1">
      <alignment horizontal="right" vertical="center"/>
    </xf>
    <xf numFmtId="176" fontId="13" fillId="0" borderId="23" xfId="3" applyNumberFormat="1" applyFont="1" applyFill="1" applyBorder="1" applyAlignment="1">
      <alignment vertical="center"/>
    </xf>
    <xf numFmtId="180" fontId="13" fillId="0" borderId="23" xfId="3" applyNumberFormat="1" applyFont="1" applyFill="1" applyBorder="1" applyAlignment="1">
      <alignment horizontal="right" vertical="center"/>
    </xf>
    <xf numFmtId="176" fontId="4" fillId="0" borderId="5" xfId="3" applyNumberFormat="1" applyFont="1" applyFill="1" applyBorder="1" applyAlignment="1">
      <alignment vertical="center"/>
    </xf>
    <xf numFmtId="176" fontId="4" fillId="0" borderId="7" xfId="3" applyNumberFormat="1" applyFont="1" applyFill="1" applyBorder="1" applyAlignment="1">
      <alignment vertical="center"/>
    </xf>
    <xf numFmtId="176" fontId="4" fillId="0" borderId="6" xfId="3" applyNumberFormat="1" applyFont="1" applyFill="1" applyBorder="1" applyAlignment="1">
      <alignment vertical="center"/>
    </xf>
    <xf numFmtId="180" fontId="4" fillId="0" borderId="5" xfId="3" applyNumberFormat="1" applyFont="1" applyFill="1" applyBorder="1" applyAlignment="1">
      <alignment horizontal="right" vertical="center"/>
    </xf>
    <xf numFmtId="180" fontId="4" fillId="0" borderId="7" xfId="3" applyNumberFormat="1" applyFont="1" applyFill="1" applyBorder="1" applyAlignment="1">
      <alignment horizontal="right" vertical="center"/>
    </xf>
    <xf numFmtId="180" fontId="4" fillId="0" borderId="6" xfId="3" applyNumberFormat="1" applyFont="1" applyFill="1" applyBorder="1" applyAlignment="1">
      <alignment horizontal="right" vertical="center"/>
    </xf>
    <xf numFmtId="0" fontId="13" fillId="0" borderId="0" xfId="0" applyFont="1" applyAlignment="1">
      <alignment horizontal="right" vertical="center"/>
    </xf>
    <xf numFmtId="0" fontId="71" fillId="0" borderId="0" xfId="0" applyFont="1" applyAlignment="1">
      <alignment vertical="center"/>
    </xf>
    <xf numFmtId="179" fontId="4" fillId="2" borderId="29" xfId="0" applyNumberFormat="1" applyFont="1" applyFill="1" applyBorder="1" applyAlignment="1">
      <alignment horizontal="center"/>
    </xf>
    <xf numFmtId="179" fontId="4" fillId="2" borderId="30" xfId="0" applyNumberFormat="1" applyFont="1" applyFill="1" applyBorder="1" applyAlignment="1">
      <alignment horizontal="center"/>
    </xf>
    <xf numFmtId="189" fontId="4" fillId="2" borderId="31" xfId="0" applyNumberFormat="1" applyFont="1" applyFill="1" applyBorder="1" applyAlignment="1">
      <alignment horizontal="center"/>
    </xf>
    <xf numFmtId="179" fontId="4" fillId="2" borderId="32" xfId="0" applyNumberFormat="1" applyFont="1" applyFill="1" applyBorder="1" applyAlignment="1">
      <alignment horizontal="center"/>
    </xf>
    <xf numFmtId="179" fontId="4" fillId="2" borderId="33" xfId="0" applyNumberFormat="1" applyFont="1" applyFill="1" applyBorder="1" applyAlignment="1">
      <alignment horizontal="center"/>
    </xf>
    <xf numFmtId="189" fontId="4" fillId="2" borderId="34" xfId="0" applyNumberFormat="1" applyFont="1" applyFill="1" applyBorder="1" applyAlignment="1">
      <alignment horizontal="center"/>
    </xf>
    <xf numFmtId="0" fontId="23" fillId="0" borderId="24" xfId="0" applyFont="1" applyBorder="1" applyAlignment="1">
      <alignment vertical="center"/>
    </xf>
    <xf numFmtId="0" fontId="23" fillId="0" borderId="25" xfId="0" applyFont="1" applyBorder="1" applyAlignment="1">
      <alignment vertical="center"/>
    </xf>
    <xf numFmtId="0" fontId="25" fillId="0" borderId="25" xfId="0" applyFont="1" applyBorder="1" applyAlignment="1">
      <alignment vertical="center"/>
    </xf>
    <xf numFmtId="180" fontId="4" fillId="0" borderId="26" xfId="1" applyNumberFormat="1" applyFont="1" applyFill="1" applyBorder="1" applyAlignment="1">
      <alignment horizontal="right" vertical="center"/>
    </xf>
    <xf numFmtId="0" fontId="23" fillId="0" borderId="27" xfId="0" applyFont="1" applyBorder="1" applyAlignment="1">
      <alignment vertical="center"/>
    </xf>
    <xf numFmtId="180" fontId="4" fillId="0" borderId="28" xfId="1" applyNumberFormat="1" applyFont="1" applyFill="1" applyBorder="1" applyAlignment="1">
      <alignment horizontal="right" vertical="center"/>
    </xf>
    <xf numFmtId="0" fontId="63" fillId="0" borderId="0" xfId="0" quotePrefix="1" applyFont="1" applyAlignment="1">
      <alignment horizontal="center" vertical="center"/>
    </xf>
    <xf numFmtId="176" fontId="4" fillId="0" borderId="28" xfId="3" applyNumberFormat="1" applyFont="1" applyBorder="1" applyAlignment="1">
      <alignment horizontal="right" vertical="center"/>
    </xf>
    <xf numFmtId="0" fontId="4" fillId="0" borderId="29" xfId="0" applyFont="1" applyBorder="1" applyAlignment="1">
      <alignment vertical="center"/>
    </xf>
    <xf numFmtId="0" fontId="4" fillId="0" borderId="30" xfId="0" applyFont="1" applyBorder="1"/>
    <xf numFmtId="0" fontId="38" fillId="0" borderId="30" xfId="0" quotePrefix="1" applyFont="1" applyBorder="1" applyAlignment="1">
      <alignment horizontal="center" vertical="center"/>
    </xf>
    <xf numFmtId="182" fontId="4" fillId="0" borderId="31" xfId="0" applyNumberFormat="1" applyFont="1" applyBorder="1" applyAlignment="1">
      <alignment horizontal="right"/>
    </xf>
    <xf numFmtId="180" fontId="17" fillId="0" borderId="0" xfId="1" applyNumberFormat="1" applyFont="1" applyFill="1" applyBorder="1" applyAlignment="1">
      <alignment horizontal="center" vertical="center"/>
    </xf>
    <xf numFmtId="176" fontId="4" fillId="2" borderId="1" xfId="3" applyNumberFormat="1" applyFont="1" applyFill="1" applyBorder="1" applyAlignment="1">
      <alignment horizontal="center" vertical="center"/>
    </xf>
    <xf numFmtId="176" fontId="4" fillId="2" borderId="8" xfId="3" applyNumberFormat="1" applyFont="1" applyFill="1" applyBorder="1" applyAlignment="1">
      <alignment horizontal="center" vertical="center"/>
    </xf>
    <xf numFmtId="176" fontId="4" fillId="2" borderId="2" xfId="3" applyNumberFormat="1" applyFont="1" applyFill="1" applyBorder="1" applyAlignment="1">
      <alignment horizontal="center" vertical="center"/>
    </xf>
    <xf numFmtId="176" fontId="4" fillId="2" borderId="15" xfId="3" applyNumberFormat="1" applyFont="1" applyFill="1" applyBorder="1" applyAlignment="1">
      <alignment horizontal="center" vertical="center"/>
    </xf>
    <xf numFmtId="176" fontId="4" fillId="2" borderId="0" xfId="3" applyNumberFormat="1" applyFont="1" applyFill="1" applyAlignment="1">
      <alignment horizontal="center" vertical="center"/>
    </xf>
    <xf numFmtId="176" fontId="4" fillId="2" borderId="14" xfId="3" applyNumberFormat="1" applyFont="1" applyFill="1" applyBorder="1" applyAlignment="1">
      <alignment horizontal="center" vertical="center"/>
    </xf>
    <xf numFmtId="176" fontId="13" fillId="2" borderId="23" xfId="3" applyNumberFormat="1" applyFont="1" applyFill="1" applyBorder="1" applyAlignment="1">
      <alignment horizontal="center" vertical="center"/>
    </xf>
    <xf numFmtId="176" fontId="4" fillId="2" borderId="5" xfId="3" applyNumberFormat="1" applyFont="1" applyFill="1" applyBorder="1" applyAlignment="1">
      <alignment horizontal="center" vertical="center"/>
    </xf>
    <xf numFmtId="176" fontId="4" fillId="2" borderId="7" xfId="3" applyNumberFormat="1" applyFont="1" applyFill="1" applyBorder="1" applyAlignment="1">
      <alignment horizontal="center" vertical="center"/>
    </xf>
    <xf numFmtId="176" fontId="4" fillId="2" borderId="6" xfId="3" applyNumberFormat="1" applyFont="1" applyFill="1" applyBorder="1" applyAlignment="1">
      <alignment horizontal="center" vertical="center"/>
    </xf>
    <xf numFmtId="0" fontId="32" fillId="0" borderId="20" xfId="0" applyFont="1" applyBorder="1" applyAlignment="1">
      <alignment horizontal="left" vertical="center"/>
    </xf>
    <xf numFmtId="0" fontId="15" fillId="0" borderId="20" xfId="0" applyFont="1" applyBorder="1" applyAlignment="1">
      <alignment horizontal="centerContinuous"/>
    </xf>
    <xf numFmtId="0" fontId="32" fillId="0" borderId="20" xfId="0" applyFont="1" applyBorder="1" applyAlignment="1">
      <alignment horizontal="centerContinuous" vertical="center"/>
    </xf>
    <xf numFmtId="208" fontId="4" fillId="0" borderId="26" xfId="1" applyNumberFormat="1" applyFont="1" applyFill="1" applyBorder="1" applyAlignment="1">
      <alignment horizontal="right" vertical="center"/>
    </xf>
    <xf numFmtId="176" fontId="4" fillId="0" borderId="28" xfId="3" applyNumberFormat="1" applyFont="1" applyFill="1" applyBorder="1" applyAlignment="1">
      <alignment horizontal="right" vertical="center"/>
    </xf>
    <xf numFmtId="187" fontId="4" fillId="0" borderId="32" xfId="0" applyNumberFormat="1" applyFont="1" applyBorder="1" applyAlignment="1">
      <alignment horizontal="right"/>
    </xf>
    <xf numFmtId="187" fontId="4" fillId="0" borderId="33" xfId="0" applyNumberFormat="1" applyFont="1" applyBorder="1" applyAlignment="1">
      <alignment horizontal="right"/>
    </xf>
    <xf numFmtId="187" fontId="4" fillId="0" borderId="34" xfId="0" applyNumberFormat="1" applyFont="1" applyBorder="1" applyAlignment="1">
      <alignment horizontal="right"/>
    </xf>
    <xf numFmtId="189" fontId="4" fillId="0" borderId="0" xfId="0" applyNumberFormat="1" applyFont="1" applyAlignment="1">
      <alignment horizontal="left"/>
    </xf>
    <xf numFmtId="185" fontId="8" fillId="0" borderId="24" xfId="0" applyNumberFormat="1" applyFont="1" applyBorder="1" applyAlignment="1">
      <alignment horizontal="left"/>
    </xf>
    <xf numFmtId="189" fontId="4" fillId="0" borderId="25" xfId="0" applyNumberFormat="1" applyFont="1" applyBorder="1" applyAlignment="1">
      <alignment horizontal="left"/>
    </xf>
    <xf numFmtId="185" fontId="5" fillId="0" borderId="26" xfId="0" applyNumberFormat="1" applyFont="1" applyBorder="1" applyAlignment="1">
      <alignment horizontal="left"/>
    </xf>
    <xf numFmtId="185" fontId="8" fillId="0" borderId="27" xfId="0" applyNumberFormat="1" applyFont="1" applyBorder="1" applyAlignment="1">
      <alignment horizontal="left"/>
    </xf>
    <xf numFmtId="185" fontId="5" fillId="0" borderId="28" xfId="0" applyNumberFormat="1" applyFont="1" applyBorder="1" applyAlignment="1">
      <alignment horizontal="left"/>
    </xf>
    <xf numFmtId="185" fontId="8" fillId="0" borderId="29" xfId="0" applyNumberFormat="1" applyFont="1" applyBorder="1" applyAlignment="1">
      <alignment horizontal="left"/>
    </xf>
    <xf numFmtId="189" fontId="4" fillId="0" borderId="30" xfId="0" applyNumberFormat="1" applyFont="1" applyBorder="1" applyAlignment="1">
      <alignment horizontal="left"/>
    </xf>
    <xf numFmtId="185" fontId="5" fillId="0" borderId="31" xfId="0" applyNumberFormat="1" applyFont="1" applyBorder="1" applyAlignment="1">
      <alignment horizontal="left"/>
    </xf>
    <xf numFmtId="179" fontId="4" fillId="0" borderId="0" xfId="0" applyNumberFormat="1" applyFont="1" applyAlignment="1">
      <alignment horizontal="left"/>
    </xf>
    <xf numFmtId="179" fontId="4" fillId="0" borderId="7" xfId="0" applyNumberFormat="1" applyFont="1" applyBorder="1" applyAlignment="1">
      <alignment horizontal="left"/>
    </xf>
    <xf numFmtId="176" fontId="4" fillId="0" borderId="1" xfId="0" applyNumberFormat="1" applyFont="1" applyBorder="1" applyAlignment="1">
      <alignment horizontal="right"/>
    </xf>
    <xf numFmtId="176" fontId="4" fillId="0" borderId="2" xfId="0" applyNumberFormat="1" applyFont="1" applyBorder="1" applyAlignment="1">
      <alignment horizontal="right"/>
    </xf>
    <xf numFmtId="176" fontId="4" fillId="0" borderId="15" xfId="0" applyNumberFormat="1" applyFont="1" applyBorder="1" applyAlignment="1">
      <alignment horizontal="right"/>
    </xf>
    <xf numFmtId="176" fontId="4" fillId="0" borderId="14" xfId="0" applyNumberFormat="1" applyFont="1" applyBorder="1" applyAlignment="1">
      <alignment horizontal="right"/>
    </xf>
    <xf numFmtId="176" fontId="4" fillId="0" borderId="5" xfId="0" applyNumberFormat="1" applyFont="1" applyBorder="1" applyAlignment="1">
      <alignment horizontal="right"/>
    </xf>
    <xf numFmtId="176" fontId="4" fillId="0" borderId="7" xfId="0" applyNumberFormat="1" applyFont="1" applyBorder="1" applyAlignment="1">
      <alignment horizontal="right"/>
    </xf>
    <xf numFmtId="176" fontId="4" fillId="0" borderId="6" xfId="0" applyNumberFormat="1" applyFont="1" applyBorder="1" applyAlignment="1">
      <alignment horizontal="right"/>
    </xf>
    <xf numFmtId="176" fontId="4" fillId="0" borderId="25" xfId="0" applyNumberFormat="1" applyFont="1" applyBorder="1"/>
    <xf numFmtId="200" fontId="4" fillId="2" borderId="0" xfId="0" applyNumberFormat="1" applyFont="1" applyFill="1" applyAlignment="1">
      <alignment horizontal="center"/>
    </xf>
    <xf numFmtId="200" fontId="4" fillId="2" borderId="36" xfId="0" applyNumberFormat="1" applyFont="1" applyFill="1" applyBorder="1" applyAlignment="1">
      <alignment horizontal="center"/>
    </xf>
    <xf numFmtId="200" fontId="4" fillId="2" borderId="20" xfId="0" applyNumberFormat="1" applyFont="1" applyFill="1" applyBorder="1" applyAlignment="1">
      <alignment horizontal="center"/>
    </xf>
    <xf numFmtId="200" fontId="4" fillId="2" borderId="37" xfId="0" applyNumberFormat="1" applyFont="1" applyFill="1" applyBorder="1" applyAlignment="1">
      <alignment horizontal="center"/>
    </xf>
    <xf numFmtId="0" fontId="41" fillId="0" borderId="0" xfId="0" applyFont="1" applyAlignment="1">
      <alignment horizontal="center"/>
    </xf>
    <xf numFmtId="0" fontId="41" fillId="0" borderId="36" xfId="0" applyFont="1" applyBorder="1" applyAlignment="1">
      <alignment horizontal="center"/>
    </xf>
    <xf numFmtId="200" fontId="4" fillId="0" borderId="0" xfId="0" applyNumberFormat="1" applyFont="1" applyAlignment="1">
      <alignment horizontal="center"/>
    </xf>
    <xf numFmtId="200" fontId="4" fillId="0" borderId="20" xfId="0" applyNumberFormat="1" applyFont="1" applyBorder="1" applyAlignment="1">
      <alignment horizontal="center"/>
    </xf>
    <xf numFmtId="0" fontId="41" fillId="0" borderId="38" xfId="0" applyFont="1" applyBorder="1" applyAlignment="1">
      <alignment horizontal="center"/>
    </xf>
    <xf numFmtId="200" fontId="4" fillId="0" borderId="38" xfId="0" applyNumberFormat="1" applyFont="1" applyBorder="1" applyAlignment="1">
      <alignment horizontal="center"/>
    </xf>
    <xf numFmtId="200" fontId="4" fillId="0" borderId="39" xfId="0" applyNumberFormat="1" applyFont="1" applyBorder="1" applyAlignment="1">
      <alignment horizontal="center"/>
    </xf>
    <xf numFmtId="176" fontId="40" fillId="0" borderId="35" xfId="0" applyNumberFormat="1" applyFont="1" applyBorder="1" applyAlignment="1">
      <alignment horizontal="center"/>
    </xf>
    <xf numFmtId="176" fontId="40" fillId="0" borderId="40" xfId="0" applyNumberFormat="1" applyFont="1" applyBorder="1" applyAlignment="1">
      <alignment horizontal="centerContinuous"/>
    </xf>
    <xf numFmtId="177" fontId="40" fillId="0" borderId="40" xfId="0" applyNumberFormat="1" applyFont="1" applyBorder="1" applyAlignment="1">
      <alignment horizontal="centerContinuous"/>
    </xf>
    <xf numFmtId="176" fontId="40" fillId="0" borderId="41" xfId="0" applyNumberFormat="1" applyFont="1" applyBorder="1" applyAlignment="1">
      <alignment horizontal="center"/>
    </xf>
    <xf numFmtId="200" fontId="4" fillId="2" borderId="38" xfId="0" applyNumberFormat="1" applyFont="1" applyFill="1" applyBorder="1" applyAlignment="1">
      <alignment horizontal="center"/>
    </xf>
    <xf numFmtId="200" fontId="4" fillId="2" borderId="39" xfId="0" applyNumberFormat="1" applyFont="1" applyFill="1" applyBorder="1" applyAlignment="1">
      <alignment horizontal="center"/>
    </xf>
    <xf numFmtId="180" fontId="74" fillId="3" borderId="0" xfId="1" applyNumberFormat="1" applyFont="1" applyFill="1" applyBorder="1" applyAlignment="1">
      <alignment horizontal="right" vertical="center"/>
    </xf>
    <xf numFmtId="208" fontId="74" fillId="3" borderId="0" xfId="1" applyNumberFormat="1" applyFont="1" applyFill="1" applyBorder="1" applyAlignment="1">
      <alignment horizontal="right" vertical="center"/>
    </xf>
    <xf numFmtId="0" fontId="73" fillId="3" borderId="0" xfId="0" applyFont="1" applyFill="1"/>
    <xf numFmtId="0" fontId="66" fillId="3" borderId="0" xfId="0" applyFont="1" applyFill="1" applyAlignment="1">
      <alignment horizontal="left"/>
    </xf>
    <xf numFmtId="0" fontId="34" fillId="3" borderId="0" xfId="0" applyFont="1" applyFill="1" applyAlignment="1">
      <alignment horizontal="centerContinuous" vertical="center"/>
    </xf>
    <xf numFmtId="0" fontId="66" fillId="3" borderId="0" xfId="0" applyFont="1" applyFill="1" applyAlignment="1">
      <alignment horizontal="centerContinuous"/>
    </xf>
    <xf numFmtId="202" fontId="60" fillId="3" borderId="0" xfId="5" applyNumberFormat="1" applyFont="1" applyFill="1" applyAlignment="1" applyProtection="1">
      <alignment horizontal="center" vertical="center"/>
      <protection hidden="1"/>
    </xf>
    <xf numFmtId="179" fontId="72" fillId="5" borderId="0" xfId="0" applyNumberFormat="1" applyFont="1" applyFill="1" applyAlignment="1">
      <alignment horizontal="right"/>
    </xf>
    <xf numFmtId="176" fontId="34" fillId="5" borderId="0" xfId="3" applyNumberFormat="1" applyFont="1" applyFill="1" applyBorder="1" applyAlignment="1">
      <alignment vertical="center"/>
    </xf>
    <xf numFmtId="176" fontId="10" fillId="5" borderId="0" xfId="3" applyNumberFormat="1" applyFont="1" applyFill="1" applyBorder="1" applyAlignment="1">
      <alignment vertical="center"/>
    </xf>
    <xf numFmtId="0" fontId="0" fillId="0" borderId="0" xfId="0" applyAlignment="1">
      <alignment horizontal="left" vertical="center" wrapText="1"/>
    </xf>
    <xf numFmtId="176" fontId="7" fillId="0" borderId="8" xfId="0" applyNumberFormat="1" applyFont="1" applyBorder="1" applyAlignment="1">
      <alignment horizontal="right" vertical="center"/>
    </xf>
    <xf numFmtId="176" fontId="7" fillId="0" borderId="2" xfId="0" applyNumberFormat="1" applyFont="1" applyBorder="1" applyAlignment="1">
      <alignment horizontal="right" vertical="center"/>
    </xf>
    <xf numFmtId="176" fontId="7" fillId="0" borderId="0" xfId="0" applyNumberFormat="1" applyFont="1" applyAlignment="1">
      <alignment horizontal="right" vertical="center"/>
    </xf>
    <xf numFmtId="176" fontId="7" fillId="0" borderId="14" xfId="0" applyNumberFormat="1" applyFont="1" applyBorder="1" applyAlignment="1">
      <alignment horizontal="right" vertical="center"/>
    </xf>
    <xf numFmtId="176" fontId="7" fillId="0" borderId="7" xfId="0" applyNumberFormat="1" applyFont="1" applyBorder="1" applyAlignment="1">
      <alignment horizontal="right" vertical="center"/>
    </xf>
    <xf numFmtId="176" fontId="7" fillId="0" borderId="6" xfId="0" applyNumberFormat="1" applyFont="1" applyBorder="1" applyAlignment="1">
      <alignment horizontal="right" vertical="center"/>
    </xf>
    <xf numFmtId="10" fontId="0" fillId="7" borderId="0" xfId="0" applyNumberFormat="1" applyFill="1"/>
    <xf numFmtId="10" fontId="0" fillId="7" borderId="0" xfId="0" applyNumberFormat="1" applyFill="1" applyAlignment="1">
      <alignment horizontal="right" vertical="center" wrapText="1"/>
    </xf>
    <xf numFmtId="10" fontId="0" fillId="0" borderId="24" xfId="0" applyNumberFormat="1" applyBorder="1"/>
    <xf numFmtId="10" fontId="0" fillId="0" borderId="25" xfId="0" applyNumberFormat="1" applyBorder="1"/>
    <xf numFmtId="10" fontId="0" fillId="0" borderId="26" xfId="0" applyNumberFormat="1" applyBorder="1"/>
    <xf numFmtId="10" fontId="0" fillId="0" borderId="27" xfId="0" applyNumberFormat="1" applyBorder="1"/>
    <xf numFmtId="10" fontId="0" fillId="0" borderId="28" xfId="0" applyNumberFormat="1" applyBorder="1"/>
    <xf numFmtId="10" fontId="0" fillId="0" borderId="29" xfId="0" applyNumberFormat="1" applyBorder="1"/>
    <xf numFmtId="10" fontId="0" fillId="0" borderId="30" xfId="0" applyNumberFormat="1" applyBorder="1"/>
    <xf numFmtId="10" fontId="0" fillId="0" borderId="31" xfId="0" applyNumberFormat="1" applyBorder="1"/>
    <xf numFmtId="10" fontId="0" fillId="0" borderId="27" xfId="0" applyNumberFormat="1" applyBorder="1" applyAlignment="1">
      <alignment horizontal="right" vertical="center" wrapText="1"/>
    </xf>
    <xf numFmtId="10" fontId="0" fillId="0" borderId="28" xfId="0" applyNumberFormat="1" applyBorder="1" applyAlignment="1">
      <alignment horizontal="right" vertical="center" wrapText="1"/>
    </xf>
    <xf numFmtId="178" fontId="9" fillId="0" borderId="25" xfId="0" applyNumberFormat="1" applyFont="1" applyBorder="1" applyAlignment="1">
      <alignment vertical="center"/>
    </xf>
    <xf numFmtId="37" fontId="10" fillId="0" borderId="25" xfId="0" applyNumberFormat="1" applyFont="1" applyBorder="1" applyAlignment="1">
      <alignment vertical="center"/>
    </xf>
    <xf numFmtId="177" fontId="8" fillId="0" borderId="25" xfId="0" applyNumberFormat="1" applyFont="1" applyBorder="1" applyAlignment="1">
      <alignment horizontal="right"/>
    </xf>
    <xf numFmtId="0" fontId="0" fillId="0" borderId="25" xfId="0" applyBorder="1"/>
    <xf numFmtId="176" fontId="8" fillId="0" borderId="25" xfId="0" applyNumberFormat="1" applyFont="1" applyBorder="1" applyAlignment="1">
      <alignment horizontal="right"/>
    </xf>
    <xf numFmtId="176" fontId="40" fillId="0" borderId="11" xfId="0" applyNumberFormat="1" applyFont="1" applyBorder="1" applyAlignment="1">
      <alignment horizontal="center"/>
    </xf>
    <xf numFmtId="176" fontId="4" fillId="0" borderId="9" xfId="0" applyNumberFormat="1" applyFont="1" applyBorder="1"/>
    <xf numFmtId="187" fontId="17" fillId="2" borderId="0" xfId="0" applyNumberFormat="1" applyFont="1" applyFill="1" applyAlignment="1">
      <alignment horizontal="right"/>
    </xf>
    <xf numFmtId="176" fontId="4" fillId="2" borderId="14" xfId="0" applyNumberFormat="1" applyFont="1" applyFill="1" applyBorder="1"/>
    <xf numFmtId="187" fontId="17" fillId="2" borderId="7" xfId="0" applyNumberFormat="1" applyFont="1" applyFill="1" applyBorder="1" applyAlignment="1">
      <alignment horizontal="right"/>
    </xf>
    <xf numFmtId="0" fontId="47" fillId="0" borderId="0" xfId="0" quotePrefix="1" applyFont="1" applyAlignment="1">
      <alignment horizontal="right"/>
    </xf>
    <xf numFmtId="0" fontId="47" fillId="0" borderId="7" xfId="0" applyFont="1" applyBorder="1" applyAlignment="1">
      <alignment horizontal="right"/>
    </xf>
    <xf numFmtId="182" fontId="4" fillId="2" borderId="6" xfId="0" applyNumberFormat="1" applyFont="1" applyFill="1" applyBorder="1"/>
    <xf numFmtId="183" fontId="75" fillId="0" borderId="0" xfId="0" applyNumberFormat="1" applyFont="1" applyAlignment="1">
      <alignment horizontal="center" vertical="center" wrapText="1"/>
    </xf>
    <xf numFmtId="0" fontId="77" fillId="0" borderId="0" xfId="0" applyFont="1" applyAlignment="1">
      <alignment horizontal="left" indent="1"/>
    </xf>
    <xf numFmtId="2" fontId="21" fillId="0" borderId="0" xfId="0" applyNumberFormat="1" applyFont="1"/>
    <xf numFmtId="2" fontId="0" fillId="0" borderId="0" xfId="0" applyNumberFormat="1"/>
    <xf numFmtId="0" fontId="75" fillId="0" borderId="0" xfId="0" applyFont="1" applyAlignment="1">
      <alignment horizontal="left" vertical="center" wrapText="1"/>
    </xf>
    <xf numFmtId="0" fontId="15" fillId="0" borderId="0" xfId="0" applyFont="1" applyAlignment="1">
      <alignment horizontal="left" vertical="center" wrapText="1"/>
    </xf>
    <xf numFmtId="0" fontId="78" fillId="6" borderId="0" xfId="0" applyFont="1" applyFill="1" applyAlignment="1">
      <alignment horizontal="left" vertical="center" wrapText="1"/>
    </xf>
    <xf numFmtId="3" fontId="76" fillId="0" borderId="0" xfId="0" applyNumberFormat="1" applyFont="1" applyAlignment="1">
      <alignment horizontal="center" vertical="center" wrapText="1"/>
    </xf>
    <xf numFmtId="0" fontId="76" fillId="0" borderId="0" xfId="0" applyFont="1" applyAlignment="1">
      <alignment horizontal="center" vertical="center" wrapText="1"/>
    </xf>
    <xf numFmtId="0" fontId="76" fillId="0" borderId="0" xfId="0" applyFont="1" applyAlignment="1">
      <alignment horizontal="center" vertical="center"/>
    </xf>
    <xf numFmtId="37" fontId="74" fillId="0" borderId="0" xfId="0" applyNumberFormat="1" applyFont="1" applyAlignment="1">
      <alignment vertical="top"/>
    </xf>
    <xf numFmtId="0" fontId="23" fillId="0" borderId="0" xfId="7" applyFont="1"/>
    <xf numFmtId="0" fontId="32" fillId="0" borderId="0" xfId="7" applyFont="1"/>
    <xf numFmtId="210" fontId="8" fillId="0" borderId="0" xfId="8" applyNumberFormat="1" applyFont="1" applyAlignment="1">
      <alignment horizontal="centerContinuous"/>
    </xf>
    <xf numFmtId="2" fontId="8" fillId="0" borderId="0" xfId="8" applyNumberFormat="1" applyFont="1" applyAlignment="1">
      <alignment horizontal="centerContinuous"/>
    </xf>
    <xf numFmtId="176" fontId="8" fillId="0" borderId="0" xfId="8" applyNumberFormat="1" applyFont="1" applyAlignment="1">
      <alignment horizontal="centerContinuous"/>
    </xf>
    <xf numFmtId="0" fontId="4" fillId="0" borderId="0" xfId="7" applyFont="1" applyAlignment="1">
      <alignment horizontal="center" vertical="center"/>
    </xf>
    <xf numFmtId="176" fontId="13" fillId="0" borderId="0" xfId="7" applyNumberFormat="1" applyFont="1" applyAlignment="1">
      <alignment horizontal="center" vertical="center"/>
    </xf>
    <xf numFmtId="0" fontId="13" fillId="0" borderId="0" xfId="8" applyFont="1" applyAlignment="1">
      <alignment horizontal="centerContinuous"/>
    </xf>
    <xf numFmtId="0" fontId="13" fillId="0" borderId="0" xfId="8" applyFont="1" applyAlignment="1">
      <alignment horizontal="right"/>
    </xf>
    <xf numFmtId="0" fontId="8" fillId="0" borderId="0" xfId="8" applyFont="1" applyAlignment="1">
      <alignment horizontal="left" vertical="center"/>
    </xf>
    <xf numFmtId="0" fontId="8" fillId="0" borderId="0" xfId="8" applyFont="1" applyAlignment="1">
      <alignment horizontal="center" vertical="center"/>
    </xf>
    <xf numFmtId="176" fontId="13" fillId="0" borderId="0" xfId="8" applyNumberFormat="1" applyFont="1" applyAlignment="1">
      <alignment horizontal="center"/>
    </xf>
    <xf numFmtId="0" fontId="70" fillId="0" borderId="0" xfId="7" applyFont="1" applyAlignment="1">
      <alignment horizontal="center"/>
    </xf>
    <xf numFmtId="176" fontId="70" fillId="0" borderId="0" xfId="8" applyNumberFormat="1" applyFont="1" applyAlignment="1">
      <alignment horizontal="right" vertical="center"/>
    </xf>
    <xf numFmtId="176" fontId="70" fillId="0" borderId="0" xfId="8" applyNumberFormat="1" applyFont="1" applyAlignment="1">
      <alignment horizontal="center" vertical="center"/>
    </xf>
    <xf numFmtId="37" fontId="4" fillId="0" borderId="0" xfId="7" applyNumberFormat="1" applyFont="1" applyAlignment="1">
      <alignment vertical="center"/>
    </xf>
    <xf numFmtId="208" fontId="5" fillId="2" borderId="0" xfId="7" applyNumberFormat="1" applyFont="1" applyFill="1" applyAlignment="1">
      <alignment horizontal="center" vertical="center"/>
    </xf>
    <xf numFmtId="176" fontId="13" fillId="0" borderId="0" xfId="8" applyNumberFormat="1" applyFont="1" applyAlignment="1">
      <alignment horizontal="right"/>
    </xf>
    <xf numFmtId="37" fontId="13" fillId="0" borderId="0" xfId="7" applyNumberFormat="1" applyFont="1" applyAlignment="1">
      <alignment horizontal="left" vertical="center"/>
    </xf>
    <xf numFmtId="37" fontId="49" fillId="0" borderId="0" xfId="7" applyNumberFormat="1" applyFont="1" applyAlignment="1">
      <alignment horizontal="left" vertical="center"/>
    </xf>
    <xf numFmtId="0" fontId="4" fillId="0" borderId="0" xfId="7" applyFont="1" applyAlignment="1">
      <alignment horizontal="left" vertical="center" indent="1"/>
    </xf>
    <xf numFmtId="208" fontId="5" fillId="0" borderId="0" xfId="7" applyNumberFormat="1" applyFont="1" applyAlignment="1">
      <alignment horizontal="right" vertical="center"/>
    </xf>
    <xf numFmtId="208" fontId="4" fillId="0" borderId="0" xfId="7" applyNumberFormat="1" applyFont="1" applyAlignment="1">
      <alignment horizontal="right" vertical="center"/>
    </xf>
    <xf numFmtId="176" fontId="80" fillId="0" borderId="0" xfId="0" applyNumberFormat="1" applyFont="1" applyAlignment="1">
      <alignment horizontal="left" indent="1"/>
    </xf>
    <xf numFmtId="0" fontId="67" fillId="0" borderId="0" xfId="7" applyFont="1" applyAlignment="1">
      <alignment horizontal="left" vertical="center" indent="1"/>
    </xf>
    <xf numFmtId="202" fontId="81" fillId="0" borderId="0" xfId="5" applyNumberFormat="1" applyFont="1" applyAlignment="1" applyProtection="1">
      <alignment horizontal="center" vertical="center"/>
      <protection hidden="1"/>
    </xf>
    <xf numFmtId="204" fontId="4" fillId="0" borderId="0" xfId="7" applyNumberFormat="1" applyFont="1" applyAlignment="1">
      <alignment horizontal="right" vertical="center" indent="1"/>
    </xf>
    <xf numFmtId="205" fontId="4" fillId="0" borderId="0" xfId="7" applyNumberFormat="1" applyFont="1" applyAlignment="1">
      <alignment horizontal="right" vertical="center" indent="1"/>
    </xf>
    <xf numFmtId="0" fontId="23" fillId="0" borderId="7" xfId="7" applyFont="1" applyBorder="1"/>
    <xf numFmtId="211" fontId="7" fillId="0" borderId="0" xfId="0" applyNumberFormat="1" applyFont="1" applyAlignment="1">
      <alignment horizontal="center"/>
    </xf>
    <xf numFmtId="37" fontId="82" fillId="0" borderId="0" xfId="7" applyNumberFormat="1" applyFont="1" applyAlignment="1">
      <alignment horizontal="left"/>
    </xf>
    <xf numFmtId="176" fontId="82" fillId="0" borderId="0" xfId="8" applyNumberFormat="1" applyFont="1" applyAlignment="1">
      <alignment horizontal="center"/>
    </xf>
    <xf numFmtId="0" fontId="82" fillId="0" borderId="0" xfId="8" applyFont="1" applyAlignment="1">
      <alignment horizontal="left"/>
    </xf>
    <xf numFmtId="0" fontId="82" fillId="0" borderId="0" xfId="8" applyFont="1" applyAlignment="1">
      <alignment horizontal="centerContinuous"/>
    </xf>
    <xf numFmtId="176" fontId="4" fillId="0" borderId="0" xfId="7" applyNumberFormat="1" applyFont="1" applyAlignment="1">
      <alignment horizontal="right" vertical="center"/>
    </xf>
    <xf numFmtId="176" fontId="70" fillId="0" borderId="42" xfId="8" applyNumberFormat="1" applyFont="1" applyBorder="1" applyAlignment="1">
      <alignment horizontal="center" vertical="center"/>
    </xf>
    <xf numFmtId="211" fontId="4" fillId="0" borderId="0" xfId="0" applyNumberFormat="1" applyFont="1" applyAlignment="1">
      <alignment horizontal="center"/>
    </xf>
    <xf numFmtId="0" fontId="13" fillId="0" borderId="43" xfId="8" applyFont="1" applyBorder="1" applyAlignment="1">
      <alignment horizontal="center"/>
    </xf>
    <xf numFmtId="176" fontId="13" fillId="0" borderId="43" xfId="8" applyNumberFormat="1" applyFont="1" applyBorder="1" applyAlignment="1">
      <alignment horizontal="center"/>
    </xf>
    <xf numFmtId="176" fontId="82" fillId="0" borderId="43" xfId="8" applyNumberFormat="1" applyFont="1" applyBorder="1" applyAlignment="1">
      <alignment horizontal="center"/>
    </xf>
    <xf numFmtId="176" fontId="70" fillId="0" borderId="43" xfId="8" applyNumberFormat="1" applyFont="1" applyBorder="1" applyAlignment="1">
      <alignment horizontal="center" vertical="center"/>
    </xf>
    <xf numFmtId="208" fontId="5" fillId="2" borderId="43" xfId="7" applyNumberFormat="1" applyFont="1" applyFill="1" applyBorder="1" applyAlignment="1">
      <alignment horizontal="center" vertical="center"/>
    </xf>
    <xf numFmtId="208" fontId="4" fillId="2" borderId="43" xfId="7" applyNumberFormat="1" applyFont="1" applyFill="1" applyBorder="1" applyAlignment="1">
      <alignment horizontal="center" vertical="center"/>
    </xf>
    <xf numFmtId="176" fontId="13" fillId="0" borderId="43" xfId="8" applyNumberFormat="1" applyFont="1" applyBorder="1" applyAlignment="1">
      <alignment horizontal="right"/>
    </xf>
    <xf numFmtId="176" fontId="7" fillId="0" borderId="43" xfId="7" applyNumberFormat="1" applyFont="1" applyBorder="1" applyAlignment="1">
      <alignment horizontal="center" vertical="center"/>
    </xf>
    <xf numFmtId="176" fontId="4" fillId="0" borderId="43" xfId="0" applyNumberFormat="1" applyFont="1" applyBorder="1" applyAlignment="1">
      <alignment horizontal="center"/>
    </xf>
    <xf numFmtId="0" fontId="9" fillId="0" borderId="43" xfId="7" applyFont="1" applyBorder="1" applyAlignment="1">
      <alignment horizontal="center" vertical="center"/>
    </xf>
    <xf numFmtId="176" fontId="13" fillId="0" borderId="43" xfId="7" applyNumberFormat="1" applyFont="1" applyBorder="1" applyAlignment="1">
      <alignment horizontal="center" vertical="center"/>
    </xf>
    <xf numFmtId="176" fontId="32" fillId="0" borderId="43" xfId="0" applyNumberFormat="1" applyFont="1" applyBorder="1" applyAlignment="1">
      <alignment horizontal="center" vertical="center"/>
    </xf>
    <xf numFmtId="176" fontId="82" fillId="0" borderId="43" xfId="0" applyNumberFormat="1" applyFont="1" applyBorder="1" applyAlignment="1">
      <alignment horizontal="center"/>
    </xf>
    <xf numFmtId="176" fontId="4" fillId="2" borderId="43" xfId="7" applyNumberFormat="1" applyFont="1" applyFill="1" applyBorder="1" applyAlignment="1">
      <alignment horizontal="center" vertical="center"/>
    </xf>
    <xf numFmtId="0" fontId="13" fillId="0" borderId="42" xfId="8" applyFont="1" applyBorder="1" applyAlignment="1">
      <alignment horizontal="centerContinuous"/>
    </xf>
    <xf numFmtId="0" fontId="83" fillId="0" borderId="42" xfId="8" applyFont="1" applyBorder="1" applyAlignment="1">
      <alignment horizontal="centerContinuous"/>
    </xf>
    <xf numFmtId="211" fontId="7" fillId="0" borderId="42" xfId="7" applyNumberFormat="1" applyFont="1" applyBorder="1" applyAlignment="1">
      <alignment horizontal="center" vertical="center"/>
    </xf>
    <xf numFmtId="211" fontId="4" fillId="0" borderId="42" xfId="7" applyNumberFormat="1" applyFont="1" applyBorder="1" applyAlignment="1">
      <alignment horizontal="center" vertical="center"/>
    </xf>
    <xf numFmtId="212" fontId="23" fillId="0" borderId="0" xfId="7" applyNumberFormat="1" applyFont="1" applyAlignment="1">
      <alignment vertical="center"/>
    </xf>
    <xf numFmtId="176" fontId="13" fillId="0" borderId="38" xfId="7" applyNumberFormat="1" applyFont="1" applyBorder="1" applyAlignment="1">
      <alignment horizontal="right" vertical="center"/>
    </xf>
    <xf numFmtId="176" fontId="70" fillId="0" borderId="38" xfId="8" applyNumberFormat="1" applyFont="1" applyBorder="1" applyAlignment="1">
      <alignment horizontal="center" vertical="center"/>
    </xf>
    <xf numFmtId="0" fontId="13" fillId="0" borderId="36" xfId="8" applyFont="1" applyBorder="1" applyAlignment="1">
      <alignment horizontal="center"/>
    </xf>
    <xf numFmtId="176" fontId="70" fillId="0" borderId="36" xfId="8" applyNumberFormat="1" applyFont="1" applyBorder="1" applyAlignment="1">
      <alignment horizontal="center" vertical="center"/>
    </xf>
    <xf numFmtId="208" fontId="5" fillId="2" borderId="36" xfId="7" applyNumberFormat="1" applyFont="1" applyFill="1" applyBorder="1" applyAlignment="1">
      <alignment horizontal="center" vertical="center"/>
    </xf>
    <xf numFmtId="0" fontId="13" fillId="0" borderId="36" xfId="8" applyFont="1" applyBorder="1" applyAlignment="1">
      <alignment horizontal="centerContinuous"/>
    </xf>
    <xf numFmtId="0" fontId="13" fillId="0" borderId="36" xfId="8" applyFont="1" applyBorder="1" applyAlignment="1">
      <alignment horizontal="right"/>
    </xf>
    <xf numFmtId="176" fontId="13" fillId="0" borderId="38" xfId="7" applyNumberFormat="1" applyFont="1" applyBorder="1" applyAlignment="1">
      <alignment horizontal="center" vertical="center"/>
    </xf>
    <xf numFmtId="176" fontId="32" fillId="0" borderId="38" xfId="0" applyNumberFormat="1" applyFont="1" applyBorder="1" applyAlignment="1">
      <alignment horizontal="center" vertical="center"/>
    </xf>
    <xf numFmtId="0" fontId="9" fillId="0" borderId="38" xfId="7" applyFont="1" applyBorder="1" applyAlignment="1">
      <alignment horizontal="center" vertical="center"/>
    </xf>
    <xf numFmtId="37" fontId="7" fillId="0" borderId="0" xfId="0" applyNumberFormat="1" applyFont="1" applyAlignment="1">
      <alignment horizontal="center" vertical="center"/>
    </xf>
    <xf numFmtId="9" fontId="0" fillId="0" borderId="0" xfId="0" applyNumberFormat="1" applyAlignment="1">
      <alignment horizontal="center" vertical="center" wrapText="1"/>
    </xf>
    <xf numFmtId="9" fontId="0" fillId="0" borderId="36" xfId="0" applyNumberFormat="1" applyBorder="1" applyAlignment="1">
      <alignment horizontal="center" vertical="center" wrapText="1"/>
    </xf>
    <xf numFmtId="176" fontId="13" fillId="0" borderId="0" xfId="8" applyNumberFormat="1" applyFont="1" applyAlignment="1">
      <alignment horizontal="center" vertical="center"/>
    </xf>
    <xf numFmtId="176" fontId="13" fillId="0" borderId="36" xfId="8" applyNumberFormat="1" applyFont="1" applyBorder="1" applyAlignment="1">
      <alignment horizontal="center" vertical="center"/>
    </xf>
    <xf numFmtId="0" fontId="82" fillId="0" borderId="0" xfId="8" applyFont="1" applyAlignment="1">
      <alignment horizontal="center" vertical="center"/>
    </xf>
    <xf numFmtId="176" fontId="82" fillId="0" borderId="38" xfId="7" applyNumberFormat="1" applyFont="1" applyBorder="1" applyAlignment="1">
      <alignment horizontal="center" vertical="center"/>
    </xf>
    <xf numFmtId="176" fontId="82" fillId="0" borderId="38" xfId="0" applyNumberFormat="1" applyFont="1" applyBorder="1" applyAlignment="1">
      <alignment horizontal="center" vertical="center"/>
    </xf>
    <xf numFmtId="176" fontId="82" fillId="0" borderId="0" xfId="8" applyNumberFormat="1" applyFont="1" applyAlignment="1">
      <alignment horizontal="center" vertical="center"/>
    </xf>
    <xf numFmtId="176" fontId="82" fillId="0" borderId="36" xfId="8" applyNumberFormat="1" applyFont="1" applyBorder="1" applyAlignment="1">
      <alignment horizontal="center" vertical="center"/>
    </xf>
    <xf numFmtId="0" fontId="82" fillId="0" borderId="36" xfId="8" applyFont="1" applyBorder="1" applyAlignment="1">
      <alignment horizontal="center" vertical="center"/>
    </xf>
    <xf numFmtId="0" fontId="70" fillId="0" borderId="0" xfId="7" applyFont="1" applyAlignment="1">
      <alignment horizontal="center" vertical="center"/>
    </xf>
    <xf numFmtId="179" fontId="7" fillId="0" borderId="0" xfId="0" applyNumberFormat="1" applyFont="1" applyAlignment="1">
      <alignment horizontal="center" vertical="center"/>
    </xf>
    <xf numFmtId="189" fontId="7" fillId="0" borderId="36" xfId="0" applyNumberFormat="1" applyFont="1" applyBorder="1" applyAlignment="1">
      <alignment horizontal="center" vertical="center"/>
    </xf>
    <xf numFmtId="179" fontId="7" fillId="0" borderId="38" xfId="0" applyNumberFormat="1" applyFont="1" applyBorder="1" applyAlignment="1">
      <alignment horizontal="right" vertical="center"/>
    </xf>
    <xf numFmtId="176" fontId="7" fillId="0" borderId="38" xfId="0" applyNumberFormat="1" applyFont="1" applyBorder="1" applyAlignment="1">
      <alignment horizontal="right" vertical="center"/>
    </xf>
    <xf numFmtId="189" fontId="7" fillId="0" borderId="38" xfId="0" applyNumberFormat="1" applyFont="1" applyBorder="1" applyAlignment="1">
      <alignment horizontal="right" vertical="center"/>
    </xf>
    <xf numFmtId="182" fontId="7" fillId="0" borderId="38" xfId="0" applyNumberFormat="1" applyFont="1" applyBorder="1" applyAlignment="1">
      <alignment horizontal="right" vertical="center"/>
    </xf>
    <xf numFmtId="182" fontId="7" fillId="0" borderId="44" xfId="0" applyNumberFormat="1" applyFont="1" applyBorder="1" applyAlignment="1">
      <alignment horizontal="right" vertical="center"/>
    </xf>
    <xf numFmtId="0" fontId="34" fillId="5" borderId="0" xfId="0" applyFont="1" applyFill="1" applyAlignment="1">
      <alignment horizontal="center" vertical="center"/>
    </xf>
    <xf numFmtId="179" fontId="34" fillId="5" borderId="0" xfId="0" applyNumberFormat="1" applyFont="1" applyFill="1" applyAlignment="1">
      <alignment horizontal="center"/>
    </xf>
    <xf numFmtId="0" fontId="15" fillId="0" borderId="0" xfId="7" applyFont="1"/>
    <xf numFmtId="0" fontId="26" fillId="0" borderId="0" xfId="7" applyFont="1"/>
    <xf numFmtId="178" fontId="38" fillId="0" borderId="0" xfId="0" applyNumberFormat="1" applyFont="1" applyAlignment="1">
      <alignment vertical="center"/>
    </xf>
    <xf numFmtId="0" fontId="13" fillId="0" borderId="0" xfId="7" applyFont="1" applyAlignment="1">
      <alignment horizontal="center" vertical="center"/>
    </xf>
    <xf numFmtId="0" fontId="13" fillId="0" borderId="0" xfId="8" applyFont="1" applyAlignment="1">
      <alignment horizontal="left" vertical="center"/>
    </xf>
    <xf numFmtId="176" fontId="13" fillId="0" borderId="0" xfId="8" applyNumberFormat="1" applyFont="1" applyAlignment="1">
      <alignment horizontal="right" vertical="center"/>
    </xf>
    <xf numFmtId="0" fontId="84" fillId="0" borderId="0" xfId="0" applyFont="1" applyAlignment="1">
      <alignment horizontal="left"/>
    </xf>
    <xf numFmtId="0" fontId="17" fillId="0" borderId="0" xfId="7" applyFont="1" applyAlignment="1">
      <alignment horizontal="center" vertical="center"/>
    </xf>
    <xf numFmtId="213" fontId="7" fillId="0" borderId="0" xfId="7" applyNumberFormat="1" applyFont="1" applyAlignment="1">
      <alignment horizontal="left" vertical="center"/>
    </xf>
    <xf numFmtId="0" fontId="7" fillId="0" borderId="0" xfId="7" applyFont="1" applyAlignment="1">
      <alignment vertical="center"/>
    </xf>
    <xf numFmtId="214" fontId="7" fillId="0" borderId="0" xfId="7" applyNumberFormat="1" applyFont="1" applyAlignment="1">
      <alignment horizontal="right" vertical="center"/>
    </xf>
    <xf numFmtId="176" fontId="82" fillId="0" borderId="0" xfId="8" applyNumberFormat="1" applyFont="1" applyAlignment="1">
      <alignment horizontal="right"/>
    </xf>
    <xf numFmtId="208" fontId="5" fillId="2" borderId="38" xfId="7" applyNumberFormat="1" applyFont="1" applyFill="1" applyBorder="1" applyAlignment="1">
      <alignment horizontal="center" vertical="center"/>
    </xf>
    <xf numFmtId="0" fontId="85" fillId="0" borderId="0" xfId="0" applyFont="1"/>
    <xf numFmtId="37" fontId="23" fillId="0" borderId="0" xfId="0" applyNumberFormat="1" applyFont="1" applyAlignment="1">
      <alignment horizontal="center" vertical="center"/>
    </xf>
    <xf numFmtId="37" fontId="23" fillId="0" borderId="0" xfId="0" applyNumberFormat="1" applyFont="1" applyAlignment="1">
      <alignment vertical="center"/>
    </xf>
    <xf numFmtId="37" fontId="11" fillId="0" borderId="0" xfId="7" applyNumberFormat="1" applyFont="1" applyAlignment="1">
      <alignment vertical="center"/>
    </xf>
    <xf numFmtId="0" fontId="88" fillId="0" borderId="0" xfId="0" applyFont="1"/>
    <xf numFmtId="215" fontId="85" fillId="0" borderId="0" xfId="6" applyNumberFormat="1" applyFont="1" applyBorder="1" applyAlignment="1">
      <alignment horizontal="right"/>
    </xf>
    <xf numFmtId="181" fontId="85" fillId="0" borderId="0" xfId="1" applyNumberFormat="1" applyFont="1" applyBorder="1" applyAlignment="1">
      <alignment horizontal="right"/>
    </xf>
    <xf numFmtId="10" fontId="85" fillId="0" borderId="0" xfId="1" applyNumberFormat="1" applyFont="1" applyBorder="1" applyAlignment="1">
      <alignment horizontal="right"/>
    </xf>
    <xf numFmtId="176" fontId="7" fillId="0" borderId="0" xfId="0" applyNumberFormat="1" applyFont="1" applyAlignment="1">
      <alignment horizontal="center"/>
    </xf>
    <xf numFmtId="176" fontId="4" fillId="0" borderId="0" xfId="0" applyNumberFormat="1" applyFont="1" applyAlignment="1">
      <alignment horizontal="center"/>
    </xf>
    <xf numFmtId="182" fontId="4" fillId="5" borderId="43" xfId="0" applyNumberFormat="1" applyFont="1" applyFill="1" applyBorder="1" applyAlignment="1">
      <alignment horizontal="center"/>
    </xf>
    <xf numFmtId="176" fontId="4" fillId="5" borderId="0" xfId="0" applyNumberFormat="1" applyFont="1" applyFill="1" applyAlignment="1">
      <alignment horizontal="center"/>
    </xf>
    <xf numFmtId="176" fontId="4" fillId="5" borderId="36" xfId="0" applyNumberFormat="1" applyFont="1" applyFill="1" applyBorder="1" applyAlignment="1">
      <alignment horizontal="center"/>
    </xf>
    <xf numFmtId="0" fontId="4" fillId="0" borderId="38" xfId="0" applyFont="1" applyBorder="1"/>
    <xf numFmtId="0" fontId="4" fillId="0" borderId="39" xfId="0" applyFont="1" applyBorder="1"/>
    <xf numFmtId="0" fontId="4" fillId="0" borderId="35" xfId="0" applyFont="1" applyBorder="1"/>
    <xf numFmtId="0" fontId="90" fillId="0" borderId="40" xfId="0" applyFont="1" applyBorder="1" applyAlignment="1">
      <alignment horizontal="center"/>
    </xf>
    <xf numFmtId="0" fontId="90" fillId="0" borderId="41" xfId="0" applyFont="1" applyBorder="1" applyAlignment="1">
      <alignment horizontal="center"/>
    </xf>
    <xf numFmtId="176" fontId="4" fillId="5" borderId="45" xfId="0" applyNumberFormat="1" applyFont="1" applyFill="1" applyBorder="1" applyAlignment="1">
      <alignment horizontal="center"/>
    </xf>
    <xf numFmtId="176" fontId="4" fillId="5" borderId="20" xfId="0" applyNumberFormat="1" applyFont="1" applyFill="1" applyBorder="1" applyAlignment="1">
      <alignment horizontal="center"/>
    </xf>
    <xf numFmtId="176" fontId="4" fillId="5" borderId="37" xfId="0" applyNumberFormat="1" applyFont="1" applyFill="1" applyBorder="1" applyAlignment="1">
      <alignment horizontal="center"/>
    </xf>
    <xf numFmtId="0" fontId="13" fillId="2" borderId="20" xfId="7" applyFont="1" applyFill="1" applyBorder="1" applyAlignment="1">
      <alignment horizontal="left" vertical="center"/>
    </xf>
    <xf numFmtId="0" fontId="86" fillId="0" borderId="20" xfId="7" applyFont="1" applyBorder="1" applyAlignment="1">
      <alignment horizontal="left" vertical="center"/>
    </xf>
    <xf numFmtId="0" fontId="49" fillId="0" borderId="20" xfId="7" applyFont="1" applyBorder="1" applyAlignment="1">
      <alignment horizontal="left" vertical="center"/>
    </xf>
    <xf numFmtId="0" fontId="15" fillId="0" borderId="20" xfId="7" applyFont="1" applyBorder="1"/>
    <xf numFmtId="0" fontId="87" fillId="0" borderId="20" xfId="0" applyFont="1" applyBorder="1" applyAlignment="1">
      <alignment horizontal="left"/>
    </xf>
    <xf numFmtId="0" fontId="13" fillId="0" borderId="20" xfId="0" applyFont="1" applyBorder="1"/>
    <xf numFmtId="0" fontId="89" fillId="0" borderId="20" xfId="0" applyFont="1" applyBorder="1"/>
    <xf numFmtId="0" fontId="4" fillId="0" borderId="44" xfId="0" applyFont="1" applyBorder="1" applyAlignment="1">
      <alignment horizontal="left" indent="1"/>
    </xf>
    <xf numFmtId="176" fontId="7" fillId="0" borderId="36" xfId="0" applyNumberFormat="1" applyFont="1" applyBorder="1" applyAlignment="1">
      <alignment horizontal="right" vertical="center"/>
    </xf>
    <xf numFmtId="0" fontId="4" fillId="0" borderId="45" xfId="0" applyFont="1" applyBorder="1" applyAlignment="1">
      <alignment horizontal="left" indent="1"/>
    </xf>
    <xf numFmtId="176" fontId="7" fillId="0" borderId="37" xfId="0" applyNumberFormat="1" applyFont="1" applyBorder="1" applyAlignment="1">
      <alignment horizontal="right" vertical="center"/>
    </xf>
    <xf numFmtId="0" fontId="13" fillId="0" borderId="46" xfId="0" applyFont="1" applyBorder="1"/>
    <xf numFmtId="0" fontId="15" fillId="0" borderId="40" xfId="7" applyFont="1" applyBorder="1"/>
    <xf numFmtId="0" fontId="15" fillId="0" borderId="41" xfId="7" applyFont="1" applyBorder="1"/>
    <xf numFmtId="0" fontId="91" fillId="4" borderId="0" xfId="0" applyFont="1" applyFill="1" applyAlignment="1">
      <alignment horizontal="left" vertical="center"/>
    </xf>
    <xf numFmtId="197" fontId="7" fillId="0" borderId="40" xfId="0" applyNumberFormat="1" applyFont="1" applyBorder="1" applyAlignment="1">
      <alignment horizontal="right" vertical="center"/>
    </xf>
    <xf numFmtId="176" fontId="4" fillId="0" borderId="2" xfId="0" applyNumberFormat="1" applyFont="1" applyBorder="1" applyAlignment="1">
      <alignment horizontal="center" vertical="center"/>
    </xf>
    <xf numFmtId="176" fontId="4" fillId="0" borderId="14" xfId="0" applyNumberFormat="1" applyFont="1" applyBorder="1" applyAlignment="1">
      <alignment horizontal="center" vertical="center"/>
    </xf>
    <xf numFmtId="179" fontId="7" fillId="0" borderId="0" xfId="0" applyNumberFormat="1" applyFont="1" applyAlignment="1">
      <alignment horizontal="center"/>
    </xf>
    <xf numFmtId="176" fontId="13" fillId="0" borderId="42" xfId="8" applyNumberFormat="1" applyFont="1" applyBorder="1" applyAlignment="1">
      <alignment horizontal="right"/>
    </xf>
    <xf numFmtId="176" fontId="32" fillId="0" borderId="42" xfId="0" applyNumberFormat="1" applyFont="1" applyBorder="1" applyAlignment="1">
      <alignment horizontal="right" vertical="center"/>
    </xf>
    <xf numFmtId="176" fontId="82" fillId="0" borderId="42" xfId="0" applyNumberFormat="1" applyFont="1" applyBorder="1" applyAlignment="1">
      <alignment horizontal="right"/>
    </xf>
    <xf numFmtId="0" fontId="17" fillId="0" borderId="42" xfId="7" applyFont="1" applyBorder="1" applyAlignment="1">
      <alignment horizontal="right" vertical="center"/>
    </xf>
    <xf numFmtId="179" fontId="7" fillId="0" borderId="42" xfId="7" applyNumberFormat="1" applyFont="1" applyBorder="1" applyAlignment="1">
      <alignment horizontal="right" vertical="center"/>
    </xf>
    <xf numFmtId="0" fontId="13" fillId="0" borderId="42" xfId="8" applyFont="1" applyBorder="1" applyAlignment="1">
      <alignment horizontal="center"/>
    </xf>
    <xf numFmtId="176" fontId="13" fillId="0" borderId="42" xfId="8" applyNumberFormat="1" applyFont="1" applyBorder="1" applyAlignment="1">
      <alignment horizontal="center"/>
    </xf>
    <xf numFmtId="176" fontId="82" fillId="0" borderId="42" xfId="8" applyNumberFormat="1" applyFont="1" applyBorder="1" applyAlignment="1">
      <alignment horizontal="center"/>
    </xf>
    <xf numFmtId="208" fontId="5" fillId="2" borderId="42" xfId="7" applyNumberFormat="1" applyFont="1" applyFill="1" applyBorder="1" applyAlignment="1">
      <alignment horizontal="center" vertical="center"/>
    </xf>
    <xf numFmtId="182" fontId="7" fillId="0" borderId="0" xfId="0" applyNumberFormat="1" applyFont="1" applyAlignment="1">
      <alignment horizontal="center"/>
    </xf>
    <xf numFmtId="0" fontId="82" fillId="0" borderId="42" xfId="8" applyFont="1" applyBorder="1" applyAlignment="1">
      <alignment horizontal="centerContinuous"/>
    </xf>
    <xf numFmtId="0" fontId="26" fillId="0" borderId="42" xfId="7" applyFont="1" applyBorder="1"/>
    <xf numFmtId="176" fontId="70" fillId="0" borderId="42" xfId="8" applyNumberFormat="1" applyFont="1" applyBorder="1" applyAlignment="1">
      <alignment horizontal="right" vertical="center"/>
    </xf>
    <xf numFmtId="0" fontId="17" fillId="0" borderId="42" xfId="7" applyFont="1" applyBorder="1" applyAlignment="1">
      <alignment horizontal="center" vertical="center"/>
    </xf>
    <xf numFmtId="182" fontId="7" fillId="0" borderId="42" xfId="7" applyNumberFormat="1" applyFont="1" applyBorder="1" applyAlignment="1">
      <alignment horizontal="right" vertical="center"/>
    </xf>
    <xf numFmtId="176" fontId="7" fillId="0" borderId="42" xfId="7" applyNumberFormat="1" applyFont="1" applyBorder="1" applyAlignment="1">
      <alignment horizontal="right" vertical="center"/>
    </xf>
    <xf numFmtId="14" fontId="0" fillId="0" borderId="0" xfId="0" applyNumberFormat="1"/>
    <xf numFmtId="26" fontId="0" fillId="0" borderId="0" xfId="0" applyNumberFormat="1"/>
    <xf numFmtId="176" fontId="7" fillId="0" borderId="0" xfId="7" applyNumberFormat="1" applyFont="1" applyAlignment="1">
      <alignment horizontal="right" vertical="center"/>
    </xf>
    <xf numFmtId="0" fontId="15" fillId="0" borderId="50" xfId="0" applyFont="1" applyBorder="1"/>
    <xf numFmtId="0" fontId="15" fillId="0" borderId="51" xfId="0" applyFont="1" applyBorder="1"/>
    <xf numFmtId="0" fontId="94" fillId="0" borderId="0" xfId="0" applyFont="1"/>
    <xf numFmtId="0" fontId="95" fillId="0" borderId="0" xfId="0" applyFont="1" applyAlignment="1">
      <alignment horizontal="right" vertical="center"/>
    </xf>
    <xf numFmtId="0" fontId="96" fillId="0" borderId="0" xfId="0" applyFont="1"/>
    <xf numFmtId="0" fontId="15" fillId="0" borderId="52" xfId="0" applyFont="1" applyBorder="1"/>
    <xf numFmtId="0" fontId="15" fillId="0" borderId="53" xfId="0" applyFont="1" applyBorder="1"/>
    <xf numFmtId="0" fontId="15" fillId="0" borderId="54" xfId="0" applyFont="1" applyBorder="1"/>
    <xf numFmtId="0" fontId="92" fillId="8" borderId="47" xfId="0" applyFont="1" applyFill="1" applyBorder="1" applyAlignment="1">
      <alignment vertical="center"/>
    </xf>
    <xf numFmtId="0" fontId="93" fillId="8" borderId="48" xfId="0" applyFont="1" applyFill="1" applyBorder="1" applyAlignment="1">
      <alignment vertical="center"/>
    </xf>
    <xf numFmtId="0" fontId="93" fillId="8" borderId="48" xfId="0" applyFont="1" applyFill="1" applyBorder="1"/>
    <xf numFmtId="0" fontId="93" fillId="8" borderId="49" xfId="0" applyFont="1" applyFill="1" applyBorder="1"/>
    <xf numFmtId="178" fontId="98" fillId="0" borderId="0" xfId="4" applyNumberFormat="1" applyFont="1" applyFill="1" applyBorder="1" applyAlignment="1" applyProtection="1">
      <alignment horizontal="left"/>
      <protection locked="0"/>
    </xf>
    <xf numFmtId="0" fontId="99" fillId="0" borderId="20" xfId="0" applyFont="1" applyBorder="1"/>
    <xf numFmtId="0" fontId="101" fillId="0" borderId="0" xfId="9" applyFont="1" applyBorder="1"/>
    <xf numFmtId="0" fontId="102" fillId="0" borderId="0" xfId="9" applyFont="1" applyBorder="1"/>
    <xf numFmtId="0" fontId="15" fillId="0" borderId="0" xfId="0" applyFont="1" applyAlignment="1">
      <alignment horizontal="left" vertical="top" wrapText="1"/>
    </xf>
    <xf numFmtId="0" fontId="4" fillId="0" borderId="0" xfId="0" applyFont="1" applyAlignment="1">
      <alignment horizontal="center" vertical="center" textRotation="90"/>
    </xf>
    <xf numFmtId="0" fontId="23" fillId="0" borderId="0" xfId="0" applyFont="1" applyAlignment="1">
      <alignment horizontal="center" vertical="center" textRotation="90"/>
    </xf>
    <xf numFmtId="0" fontId="34" fillId="3" borderId="0" xfId="0" applyFont="1" applyFill="1" applyAlignment="1">
      <alignment horizontal="center" vertical="center" textRotation="90"/>
    </xf>
    <xf numFmtId="0" fontId="13" fillId="0" borderId="44" xfId="8" applyFont="1" applyBorder="1" applyAlignment="1">
      <alignment horizontal="center" vertical="center"/>
    </xf>
    <xf numFmtId="0" fontId="13" fillId="0" borderId="36" xfId="8" applyFont="1" applyBorder="1" applyAlignment="1">
      <alignment horizontal="center" vertical="center"/>
    </xf>
  </cellXfs>
  <cellStyles count="10">
    <cellStyle name="Comma" xfId="6" builtinId="3"/>
    <cellStyle name="Comma 2" xfId="3" xr:uid="{6C6935E4-06E7-408E-A7DF-235137915F0B}"/>
    <cellStyle name="Comma 2 2" xfId="2" xr:uid="{C58529B7-C56C-44F8-97E7-4344DAD719F6}"/>
    <cellStyle name="Hyperlink" xfId="9" builtinId="8"/>
    <cellStyle name="Hyperlink 2 2" xfId="4" xr:uid="{46688052-85D4-462E-AE0D-25E1DF2A3297}"/>
    <cellStyle name="Normal" xfId="0" builtinId="0"/>
    <cellStyle name="Normal 2" xfId="5" xr:uid="{AE0360B9-C6A6-485C-A8AB-47195A421425}"/>
    <cellStyle name="Normal 2 2 2" xfId="7" xr:uid="{31044464-98F9-43C6-BE34-39A1C5DFE33F}"/>
    <cellStyle name="Normal_Master Junior Database v2" xfId="8" xr:uid="{21F99A77-187D-43F6-B5C6-AE97DA6AE15D}"/>
    <cellStyle name="Percent" xfId="1" builtinId="5"/>
  </cellStyles>
  <dxfs count="3">
    <dxf>
      <font>
        <b/>
        <i val="0"/>
        <color theme="0"/>
      </font>
      <fill>
        <patternFill patternType="solid">
          <bgColor rgb="FF947131"/>
        </patternFill>
      </fill>
    </dxf>
    <dxf>
      <font>
        <b/>
        <i val="0"/>
        <color theme="0"/>
      </font>
      <fill>
        <patternFill patternType="solid">
          <bgColor rgb="FF947131"/>
        </patternFill>
      </fill>
    </dxf>
    <dxf>
      <font>
        <b/>
        <i val="0"/>
        <color theme="0"/>
      </font>
      <fill>
        <patternFill>
          <fgColor auto="1"/>
          <bgColor rgb="FF947131"/>
        </patternFill>
      </fill>
    </dxf>
  </dxfs>
  <tableStyles count="0" defaultTableStyle="TableStyleMedium2" defaultPivotStyle="PivotStyleLight16"/>
  <colors>
    <mruColors>
      <color rgb="FFFFFFFF"/>
      <color rgb="FFDECC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Dashboard!$D$45</c:f>
              <c:strCache>
                <c:ptCount val="1"/>
                <c:pt idx="0">
                  <c:v>Low</c:v>
                </c:pt>
              </c:strCache>
            </c:strRef>
          </c:tx>
          <c:spPr>
            <a:solidFill>
              <a:schemeClr val="bg1"/>
            </a:solidFill>
            <a:ln>
              <a:noFill/>
            </a:ln>
            <a:effectLst/>
          </c:spPr>
          <c:invertIfNegative val="0"/>
          <c:dLbls>
            <c:dLbl>
              <c:idx val="1"/>
              <c:layout>
                <c:manualLayout>
                  <c:x val="-3.6726387615540732E-17"/>
                  <c:y val="-6.9624194603320393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8E-487C-B067-1206E05DB624}"/>
                </c:ext>
              </c:extLst>
            </c:dLbl>
            <c:dLbl>
              <c:idx val="2"/>
              <c:layout>
                <c:manualLayout>
                  <c:x val="-1.665427864441442E-3"/>
                  <c:y val="-8.32835456492084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41-4ABB-804C-41D8F6BB1C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Dashboard!$C$46:$C$50</c:f>
              <c:strCache>
                <c:ptCount val="5"/>
                <c:pt idx="0">
                  <c:v>DCF Valuation Analysis</c:v>
                </c:pt>
                <c:pt idx="1">
                  <c:v>Comparable Trading Analysis</c:v>
                </c:pt>
                <c:pt idx="2">
                  <c:v>Precedent Transaction Analysis</c:v>
                </c:pt>
                <c:pt idx="3">
                  <c:v>52-Week Trading</c:v>
                </c:pt>
                <c:pt idx="4">
                  <c:v>Consensus Research</c:v>
                </c:pt>
              </c:strCache>
            </c:strRef>
          </c:cat>
          <c:val>
            <c:numRef>
              <c:f>Dashboard!$D$46:$D$50</c:f>
              <c:numCache>
                <c:formatCode>_(#,##0_);\(#,##0\);_("–"_);_(@_)</c:formatCode>
                <c:ptCount val="5"/>
                <c:pt idx="0">
                  <c:v>49.917682758093584</c:v>
                </c:pt>
                <c:pt idx="1">
                  <c:v>9.928621343715653</c:v>
                </c:pt>
                <c:pt idx="2">
                  <c:v>-2.6847843514510208</c:v>
                </c:pt>
                <c:pt idx="3">
                  <c:v>106.3</c:v>
                </c:pt>
                <c:pt idx="4">
                  <c:v>88</c:v>
                </c:pt>
              </c:numCache>
            </c:numRef>
          </c:val>
          <c:extLst>
            <c:ext xmlns:c16="http://schemas.microsoft.com/office/drawing/2014/chart" uri="{C3380CC4-5D6E-409C-BE32-E72D297353CC}">
              <c16:uniqueId val="{00000000-7A8E-487C-B067-1206E05DB624}"/>
            </c:ext>
          </c:extLst>
        </c:ser>
        <c:ser>
          <c:idx val="1"/>
          <c:order val="1"/>
          <c:tx>
            <c:strRef>
              <c:f>Dashboard!$E$45</c:f>
              <c:strCache>
                <c:ptCount val="1"/>
                <c:pt idx="0">
                  <c:v>Delta</c:v>
                </c:pt>
              </c:strCache>
            </c:strRef>
          </c:tx>
          <c:spPr>
            <a:solidFill>
              <a:schemeClr val="accent2"/>
            </a:solidFill>
            <a:ln>
              <a:noFill/>
            </a:ln>
            <a:effectLst/>
          </c:spPr>
          <c:invertIfNegative val="0"/>
          <c:cat>
            <c:strRef>
              <c:f>Dashboard!$C$46:$C$50</c:f>
              <c:strCache>
                <c:ptCount val="5"/>
                <c:pt idx="0">
                  <c:v>DCF Valuation Analysis</c:v>
                </c:pt>
                <c:pt idx="1">
                  <c:v>Comparable Trading Analysis</c:v>
                </c:pt>
                <c:pt idx="2">
                  <c:v>Precedent Transaction Analysis</c:v>
                </c:pt>
                <c:pt idx="3">
                  <c:v>52-Week Trading</c:v>
                </c:pt>
                <c:pt idx="4">
                  <c:v>Consensus Research</c:v>
                </c:pt>
              </c:strCache>
            </c:strRef>
          </c:cat>
          <c:val>
            <c:numRef>
              <c:f>Dashboard!$E$46:$E$50</c:f>
              <c:numCache>
                <c:formatCode>_(#,##0_);\(#,##0\);_("–"_);_(@_)</c:formatCode>
                <c:ptCount val="5"/>
                <c:pt idx="0">
                  <c:v>238.00976147397785</c:v>
                </c:pt>
                <c:pt idx="1">
                  <c:v>220.43366821857387</c:v>
                </c:pt>
                <c:pt idx="2">
                  <c:v>294.58405559034486</c:v>
                </c:pt>
                <c:pt idx="3">
                  <c:v>150.69999999999999</c:v>
                </c:pt>
                <c:pt idx="4">
                  <c:v>187</c:v>
                </c:pt>
              </c:numCache>
            </c:numRef>
          </c:val>
          <c:extLst>
            <c:ext xmlns:c16="http://schemas.microsoft.com/office/drawing/2014/chart" uri="{C3380CC4-5D6E-409C-BE32-E72D297353CC}">
              <c16:uniqueId val="{00000001-7A8E-487C-B067-1206E05DB624}"/>
            </c:ext>
          </c:extLst>
        </c:ser>
        <c:ser>
          <c:idx val="2"/>
          <c:order val="2"/>
          <c:tx>
            <c:strRef>
              <c:f>Dashboard!$F$45</c:f>
              <c:strCache>
                <c:ptCount val="1"/>
                <c:pt idx="0">
                  <c:v>High</c:v>
                </c:pt>
              </c:strCache>
            </c:strRef>
          </c:tx>
          <c:spPr>
            <a:solidFill>
              <a:schemeClr val="bg1"/>
            </a:solidFill>
            <a:ln>
              <a:noFill/>
            </a:ln>
            <a:effectLst/>
          </c:spPr>
          <c:invertIfNegative val="0"/>
          <c:dLbls>
            <c:dLbl>
              <c:idx val="0"/>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8E-487C-B067-1206E05DB624}"/>
                </c:ext>
              </c:extLst>
            </c:dLbl>
            <c:dLbl>
              <c:idx val="1"/>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8E-487C-B067-1206E05DB624}"/>
                </c:ext>
              </c:extLst>
            </c:dLbl>
            <c:dLbl>
              <c:idx val="2"/>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41-4ABB-804C-41D8F6BB1C99}"/>
                </c:ext>
              </c:extLst>
            </c:dLbl>
            <c:dLbl>
              <c:idx val="3"/>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8E-487C-B067-1206E05DB624}"/>
                </c:ext>
              </c:extLst>
            </c:dLbl>
            <c:dLbl>
              <c:idx val="4"/>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8E-487C-B067-1206E05DB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Dashboard!$C$46:$C$50</c:f>
              <c:strCache>
                <c:ptCount val="5"/>
                <c:pt idx="0">
                  <c:v>DCF Valuation Analysis</c:v>
                </c:pt>
                <c:pt idx="1">
                  <c:v>Comparable Trading Analysis</c:v>
                </c:pt>
                <c:pt idx="2">
                  <c:v>Precedent Transaction Analysis</c:v>
                </c:pt>
                <c:pt idx="3">
                  <c:v>52-Week Trading</c:v>
                </c:pt>
                <c:pt idx="4">
                  <c:v>Consensus Research</c:v>
                </c:pt>
              </c:strCache>
            </c:strRef>
          </c:cat>
          <c:val>
            <c:numRef>
              <c:f>Dashboard!$F$46:$F$50</c:f>
              <c:numCache>
                <c:formatCode>_(#,##0_);\(#,##0\);_("–"_);_(@_)</c:formatCode>
                <c:ptCount val="5"/>
                <c:pt idx="0">
                  <c:v>287.92744423207142</c:v>
                </c:pt>
                <c:pt idx="1">
                  <c:v>230.36228956228953</c:v>
                </c:pt>
                <c:pt idx="2">
                  <c:v>291.89927123889385</c:v>
                </c:pt>
                <c:pt idx="3">
                  <c:v>257</c:v>
                </c:pt>
                <c:pt idx="4">
                  <c:v>275</c:v>
                </c:pt>
              </c:numCache>
            </c:numRef>
          </c:val>
          <c:extLst>
            <c:ext xmlns:c16="http://schemas.microsoft.com/office/drawing/2014/chart" uri="{C3380CC4-5D6E-409C-BE32-E72D297353CC}">
              <c16:uniqueId val="{00000002-7A8E-487C-B067-1206E05DB624}"/>
            </c:ext>
          </c:extLst>
        </c:ser>
        <c:dLbls>
          <c:showLegendKey val="0"/>
          <c:showVal val="0"/>
          <c:showCatName val="0"/>
          <c:showSerName val="0"/>
          <c:showPercent val="0"/>
          <c:showBubbleSize val="0"/>
        </c:dLbls>
        <c:gapWidth val="150"/>
        <c:overlap val="100"/>
        <c:axId val="187610975"/>
        <c:axId val="187617215"/>
      </c:barChart>
      <c:catAx>
        <c:axId val="1876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200" b="0" i="0" u="none" strike="noStrike" kern="1200" baseline="0">
                <a:solidFill>
                  <a:schemeClr val="tx1">
                    <a:lumMod val="65000"/>
                    <a:lumOff val="35000"/>
                  </a:schemeClr>
                </a:solidFill>
                <a:latin typeface="+mn-lt"/>
                <a:ea typeface="+mn-ea"/>
                <a:cs typeface="+mn-cs"/>
              </a:defRPr>
            </a:pPr>
            <a:endParaRPr lang="zh-CN"/>
          </a:p>
        </c:txPr>
        <c:crossAx val="187617215"/>
        <c:crossesAt val="-20"/>
        <c:auto val="1"/>
        <c:lblAlgn val="ctr"/>
        <c:lblOffset val="100"/>
        <c:noMultiLvlLbl val="0"/>
      </c:catAx>
      <c:valAx>
        <c:axId val="187617215"/>
        <c:scaling>
          <c:orientation val="minMax"/>
          <c:max val="300"/>
          <c:min val="-20"/>
        </c:scaling>
        <c:delete val="0"/>
        <c:axPos val="l"/>
        <c:numFmt formatCode="_(#,##0_);\(#,##0\);_(&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zh-CN"/>
          </a:p>
        </c:txPr>
        <c:crossAx val="187610975"/>
        <c:crosses val="autoZero"/>
        <c:crossBetween val="between"/>
        <c:majorUnit val="40"/>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31" fmlaLink="$D$5" fmlaRange="$D$12:$D$14" noThreeD="1" sel="2" val="0"/>
</file>

<file path=xl/ctrlProps/ctrlProp2.xml><?xml version="1.0" encoding="utf-8"?>
<formControlPr xmlns="http://schemas.microsoft.com/office/spreadsheetml/2009/9/main" objectType="Drop" dropStyle="combo" dx="31" fmlaLink="$D$5" fmlaRange="$D$12:$D$14" noThreeD="1" sel="2" val="0"/>
</file>

<file path=xl/ctrlProps/ctrlProp3.xml><?xml version="1.0" encoding="utf-8"?>
<formControlPr xmlns="http://schemas.microsoft.com/office/spreadsheetml/2009/9/main" objectType="Drop" dropStyle="combo" dx="31" fmlaLink="'DCF Sensitivity Analysis'!$D$5" fmlaRange="$C$9:$C$11"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136496</xdr:rowOff>
    </xdr:from>
    <xdr:to>
      <xdr:col>13</xdr:col>
      <xdr:colOff>0</xdr:colOff>
      <xdr:row>14</xdr:row>
      <xdr:rowOff>106823</xdr:rowOff>
    </xdr:to>
    <xdr:sp macro="" textlink="">
      <xdr:nvSpPr>
        <xdr:cNvPr id="2" name="TextBox 1">
          <a:extLst>
            <a:ext uri="{FF2B5EF4-FFF2-40B4-BE49-F238E27FC236}">
              <a16:creationId xmlns:a16="http://schemas.microsoft.com/office/drawing/2014/main" id="{0E5CFD52-D35A-47D7-A4FF-B5223C62381C}"/>
            </a:ext>
          </a:extLst>
        </xdr:cNvPr>
        <xdr:cNvSpPr txBox="1"/>
      </xdr:nvSpPr>
      <xdr:spPr>
        <a:xfrm>
          <a:off x="658739" y="1376823"/>
          <a:ext cx="10984906" cy="20830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900" b="0">
              <a:latin typeface="Open Sans" panose="020B0606030504020204" pitchFamily="34" charset="0"/>
              <a:ea typeface="Open Sans" panose="020B0606030504020204" pitchFamily="34" charset="0"/>
              <a:cs typeface="Open Sans" panose="020B0606030504020204" pitchFamily="34" charset="0"/>
            </a:rPr>
            <a:t>RH was founded in 1980 and is headquartered in Corte Madera, CA, USA. It is a luxury lifestyle brand and retailer operating primarily in the home furnishings market.</a:t>
          </a:r>
        </a:p>
        <a:p>
          <a:endParaRPr lang="en-US" altLang="zh-CN" sz="400" b="0">
            <a:latin typeface="Open Sans" panose="020B0606030504020204" pitchFamily="34" charset="0"/>
            <a:ea typeface="Open Sans" panose="020B0606030504020204" pitchFamily="34" charset="0"/>
            <a:cs typeface="Open Sans" panose="020B0606030504020204" pitchFamily="34" charset="0"/>
          </a:endParaRPr>
        </a:p>
        <a:p>
          <a:r>
            <a:rPr lang="en-US" altLang="zh-CN" sz="900" b="0">
              <a:latin typeface="Open Sans" panose="020B0606030504020204" pitchFamily="34" charset="0"/>
              <a:ea typeface="Open Sans" panose="020B0606030504020204" pitchFamily="34" charset="0"/>
              <a:cs typeface="Open Sans" panose="020B0606030504020204" pitchFamily="34" charset="0"/>
            </a:rPr>
            <a:t>  The company operates through three segments: RH Segment, Waterworks, and Real Estate. Its business activities include:</a:t>
          </a:r>
        </a:p>
        <a:p>
          <a:endParaRPr lang="en-US" altLang="zh-CN" sz="400" b="0">
            <a:latin typeface="Open Sans" panose="020B0606030504020204" pitchFamily="34" charset="0"/>
            <a:ea typeface="Open Sans" panose="020B0606030504020204" pitchFamily="34" charset="0"/>
            <a:cs typeface="Open Sans" panose="020B0606030504020204" pitchFamily="34" charset="0"/>
          </a:endParaRPr>
        </a:p>
        <a:p>
          <a:pPr algn="l"/>
          <a:r>
            <a:rPr lang="en-US" altLang="zh-CN" sz="900">
              <a:latin typeface="Open Sans" panose="020B0606030504020204" pitchFamily="34" charset="0"/>
              <a:ea typeface="Open Sans" panose="020B0606030504020204" pitchFamily="34" charset="0"/>
              <a:cs typeface="Open Sans" panose="020B0606030504020204" pitchFamily="34" charset="0"/>
            </a:rPr>
            <a:t>     • Selling luxury home furnishings, including furniture, lighting, textiles, rugs, bathware, décor, outdoor and garden products, and baby, child, and teen furnishings.</a:t>
          </a:r>
        </a:p>
        <a:p>
          <a:pPr algn="l"/>
          <a:endParaRPr lang="en-US" altLang="zh-CN" sz="400">
            <a:solidFill>
              <a:schemeClr val="dk1"/>
            </a:solidFill>
            <a:effectLst/>
            <a:latin typeface="+mn-lt"/>
            <a:ea typeface="+mn-ea"/>
            <a:cs typeface="+mn-cs"/>
          </a:endParaRPr>
        </a:p>
        <a:p>
          <a:pPr algn="l"/>
          <a:r>
            <a:rPr lang="en-US" altLang="zh-CN" sz="1100">
              <a:solidFill>
                <a:schemeClr val="dk1"/>
              </a:solidFill>
              <a:effectLst/>
              <a:latin typeface="+mn-lt"/>
              <a:ea typeface="+mn-ea"/>
              <a:cs typeface="+mn-cs"/>
            </a:rPr>
            <a:t>     </a:t>
          </a:r>
          <a:r>
            <a:rPr lang="en-US" altLang="zh-CN" sz="900">
              <a:latin typeface="Open Sans" panose="020B0606030504020204" pitchFamily="34" charset="0"/>
              <a:ea typeface="Open Sans" panose="020B0606030504020204" pitchFamily="34" charset="0"/>
              <a:cs typeface="Open Sans" panose="020B0606030504020204" pitchFamily="34" charset="0"/>
            </a:rPr>
            <a:t>• Operating retail galleries, outlets, interior design studios, showrooms, websites, Sourcebooks, and hospitality-related spaces.</a:t>
          </a:r>
        </a:p>
        <a:p>
          <a:pPr algn="l"/>
          <a:endParaRPr lang="en-US" altLang="zh-CN" sz="400">
            <a:solidFill>
              <a:schemeClr val="dk1"/>
            </a:solidFill>
            <a:effectLst/>
            <a:latin typeface="+mn-lt"/>
            <a:ea typeface="+mn-ea"/>
            <a:cs typeface="+mn-cs"/>
          </a:endParaRPr>
        </a:p>
        <a:p>
          <a:pPr algn="l"/>
          <a:r>
            <a:rPr lang="en-US" altLang="zh-CN" sz="1100">
              <a:solidFill>
                <a:schemeClr val="dk1"/>
              </a:solidFill>
              <a:effectLst/>
              <a:latin typeface="+mn-lt"/>
              <a:ea typeface="+mn-ea"/>
              <a:cs typeface="+mn-cs"/>
            </a:rPr>
            <a:t>     </a:t>
          </a:r>
          <a:r>
            <a:rPr lang="en-US" altLang="zh-CN" sz="900">
              <a:latin typeface="Open Sans" panose="020B0606030504020204" pitchFamily="34" charset="0"/>
              <a:ea typeface="Open Sans" panose="020B0606030504020204" pitchFamily="34" charset="0"/>
              <a:cs typeface="Open Sans" panose="020B0606030504020204" pitchFamily="34" charset="0"/>
            </a:rPr>
            <a:t>• Providing interior design services, Trade services, and Contract services to consumers, designers, and commercial clients.</a:t>
          </a:r>
        </a:p>
        <a:p>
          <a:pPr algn="l"/>
          <a:endParaRPr lang="en-US" altLang="zh-CN" sz="400">
            <a:solidFill>
              <a:schemeClr val="dk1"/>
            </a:solidFill>
            <a:effectLst/>
            <a:latin typeface="+mn-lt"/>
            <a:ea typeface="+mn-ea"/>
            <a:cs typeface="+mn-cs"/>
          </a:endParaRPr>
        </a:p>
        <a:p>
          <a:pPr algn="l"/>
          <a:r>
            <a:rPr lang="en-US" altLang="zh-CN" sz="1100">
              <a:solidFill>
                <a:schemeClr val="dk1"/>
              </a:solidFill>
              <a:effectLst/>
              <a:latin typeface="+mn-lt"/>
              <a:ea typeface="+mn-ea"/>
              <a:cs typeface="+mn-cs"/>
            </a:rPr>
            <a:t>     </a:t>
          </a:r>
          <a:r>
            <a:rPr lang="en-US" altLang="zh-CN" sz="900">
              <a:latin typeface="Open Sans" panose="020B0606030504020204" pitchFamily="34" charset="0"/>
              <a:ea typeface="Open Sans" panose="020B0606030504020204" pitchFamily="34" charset="0"/>
              <a:cs typeface="Open Sans" panose="020B0606030504020204" pitchFamily="34" charset="0"/>
            </a:rPr>
            <a:t>• Offering luxury bath and kitchen products through Waterworks, including fittings, fixtures, furnishings, lighting, hardware, and surfaces.</a:t>
          </a:r>
        </a:p>
        <a:p>
          <a:pPr algn="l"/>
          <a:endParaRPr lang="en-US" altLang="zh-CN" sz="400">
            <a:solidFill>
              <a:schemeClr val="dk1"/>
            </a:solidFill>
            <a:effectLst/>
            <a:latin typeface="+mn-lt"/>
            <a:ea typeface="+mn-ea"/>
            <a:cs typeface="+mn-cs"/>
          </a:endParaRPr>
        </a:p>
        <a:p>
          <a:pPr algn="l"/>
          <a:r>
            <a:rPr lang="en-US" altLang="zh-CN" sz="1100">
              <a:solidFill>
                <a:schemeClr val="dk1"/>
              </a:solidFill>
              <a:effectLst/>
              <a:latin typeface="+mn-lt"/>
              <a:ea typeface="+mn-ea"/>
              <a:cs typeface="+mn-cs"/>
            </a:rPr>
            <a:t>     </a:t>
          </a:r>
          <a:r>
            <a:rPr lang="en-US" altLang="zh-CN" sz="900">
              <a:latin typeface="Open Sans" panose="020B0606030504020204" pitchFamily="34" charset="0"/>
              <a:ea typeface="Open Sans" panose="020B0606030504020204" pitchFamily="34" charset="0"/>
              <a:cs typeface="Open Sans" panose="020B0606030504020204" pitchFamily="34" charset="0"/>
            </a:rPr>
            <a:t>• Operating the RH Members Program, which supports customer loyalty through member savings and design-related services.</a:t>
          </a:r>
        </a:p>
        <a:p>
          <a:pPr algn="l"/>
          <a:endParaRPr lang="en-US" altLang="zh-CN" sz="400">
            <a:solidFill>
              <a:schemeClr val="dk1"/>
            </a:solidFill>
            <a:effectLst/>
            <a:latin typeface="+mn-lt"/>
            <a:ea typeface="+mn-ea"/>
            <a:cs typeface="+mn-cs"/>
          </a:endParaRPr>
        </a:p>
        <a:p>
          <a:pPr algn="l"/>
          <a:r>
            <a:rPr lang="en-US" altLang="zh-CN" sz="1100">
              <a:solidFill>
                <a:schemeClr val="dk1"/>
              </a:solidFill>
              <a:effectLst/>
              <a:latin typeface="+mn-lt"/>
              <a:ea typeface="+mn-ea"/>
              <a:cs typeface="+mn-cs"/>
            </a:rPr>
            <a:t>     </a:t>
          </a:r>
          <a:r>
            <a:rPr lang="en-US" altLang="zh-CN" sz="900">
              <a:latin typeface="Open Sans" panose="020B0606030504020204" pitchFamily="34" charset="0"/>
              <a:ea typeface="Open Sans" panose="020B0606030504020204" pitchFamily="34" charset="0"/>
              <a:cs typeface="Open Sans" panose="020B0606030504020204" pitchFamily="34" charset="0"/>
            </a:rPr>
            <a:t>• Managing real estate and hospitality-related investments that support RH’s broader luxury lifestyle ecosystem</a:t>
          </a:r>
          <a:r>
            <a:rPr lang="en-US" altLang="zh-CN" sz="900" baseline="0">
              <a:latin typeface="Open Sans" panose="020B0606030504020204" pitchFamily="34" charset="0"/>
              <a:ea typeface="Open Sans" panose="020B0606030504020204" pitchFamily="34" charset="0"/>
              <a:cs typeface="Open Sans" panose="020B0606030504020204" pitchFamily="34" charset="0"/>
            </a:rPr>
            <a:t>.</a:t>
          </a:r>
          <a:endParaRPr lang="en-CA" sz="9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xdr:col>
      <xdr:colOff>625927</xdr:colOff>
      <xdr:row>17</xdr:row>
      <xdr:rowOff>190501</xdr:rowOff>
    </xdr:from>
    <xdr:to>
      <xdr:col>8</xdr:col>
      <xdr:colOff>545981</xdr:colOff>
      <xdr:row>39</xdr:row>
      <xdr:rowOff>181429</xdr:rowOff>
    </xdr:to>
    <xdr:graphicFrame macro="">
      <xdr:nvGraphicFramePr>
        <xdr:cNvPr id="12" name="Chart 11">
          <a:extLst>
            <a:ext uri="{FF2B5EF4-FFF2-40B4-BE49-F238E27FC236}">
              <a16:creationId xmlns:a16="http://schemas.microsoft.com/office/drawing/2014/main" id="{056457E4-717D-FC65-F29B-A8442822D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487039</xdr:colOff>
      <xdr:row>26</xdr:row>
      <xdr:rowOff>192283</xdr:rowOff>
    </xdr:from>
    <xdr:to>
      <xdr:col>8</xdr:col>
      <xdr:colOff>296729</xdr:colOff>
      <xdr:row>26</xdr:row>
      <xdr:rowOff>192283</xdr:rowOff>
    </xdr:to>
    <xdr:cxnSp macro="">
      <xdr:nvCxnSpPr>
        <xdr:cNvPr id="13" name="Straight Connector 12">
          <a:extLst>
            <a:ext uri="{FF2B5EF4-FFF2-40B4-BE49-F238E27FC236}">
              <a16:creationId xmlns:a16="http://schemas.microsoft.com/office/drawing/2014/main" id="{92DADA61-C4FA-43DD-8AD4-C951221516D4}"/>
            </a:ext>
          </a:extLst>
        </xdr:cNvPr>
        <xdr:cNvCxnSpPr/>
      </xdr:nvCxnSpPr>
      <xdr:spPr>
        <a:xfrm>
          <a:off x="1807839" y="6580383"/>
          <a:ext cx="6845490" cy="0"/>
        </a:xfrm>
        <a:prstGeom prst="line">
          <a:avLst/>
        </a:prstGeom>
        <a:ln w="34925">
          <a:solidFill>
            <a:schemeClr val="accent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486635</xdr:colOff>
      <xdr:row>24</xdr:row>
      <xdr:rowOff>232236</xdr:rowOff>
    </xdr:from>
    <xdr:to>
      <xdr:col>8</xdr:col>
      <xdr:colOff>267056</xdr:colOff>
      <xdr:row>24</xdr:row>
      <xdr:rowOff>232236</xdr:rowOff>
    </xdr:to>
    <xdr:cxnSp macro="">
      <xdr:nvCxnSpPr>
        <xdr:cNvPr id="14" name="Straight Connector 13">
          <a:extLst>
            <a:ext uri="{FF2B5EF4-FFF2-40B4-BE49-F238E27FC236}">
              <a16:creationId xmlns:a16="http://schemas.microsoft.com/office/drawing/2014/main" id="{A3CFB5DC-F16F-431F-861C-FC5D81EDC6A7}"/>
            </a:ext>
          </a:extLst>
        </xdr:cNvPr>
        <xdr:cNvCxnSpPr/>
      </xdr:nvCxnSpPr>
      <xdr:spPr>
        <a:xfrm>
          <a:off x="1807435" y="6099636"/>
          <a:ext cx="6816221" cy="0"/>
        </a:xfrm>
        <a:prstGeom prst="line">
          <a:avLst/>
        </a:prstGeom>
        <a:ln w="34925">
          <a:solidFill>
            <a:schemeClr val="accent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207833</xdr:colOff>
      <xdr:row>25</xdr:row>
      <xdr:rowOff>9446</xdr:rowOff>
    </xdr:from>
    <xdr:to>
      <xdr:col>9</xdr:col>
      <xdr:colOff>316237</xdr:colOff>
      <xdr:row>26</xdr:row>
      <xdr:rowOff>223965</xdr:rowOff>
    </xdr:to>
    <xdr:sp macro="" textlink="">
      <xdr:nvSpPr>
        <xdr:cNvPr id="37" name="TextBox 36">
          <a:extLst>
            <a:ext uri="{FF2B5EF4-FFF2-40B4-BE49-F238E27FC236}">
              <a16:creationId xmlns:a16="http://schemas.microsoft.com/office/drawing/2014/main" id="{6BE08624-6D52-497B-8BC4-AAD5ABDF1F3F}"/>
            </a:ext>
          </a:extLst>
        </xdr:cNvPr>
        <xdr:cNvSpPr txBox="1"/>
      </xdr:nvSpPr>
      <xdr:spPr>
        <a:xfrm>
          <a:off x="8564433" y="6137196"/>
          <a:ext cx="768804" cy="474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900">
              <a:solidFill>
                <a:schemeClr val="accent1"/>
              </a:solidFill>
            </a:rPr>
            <a:t>Recomand</a:t>
          </a:r>
          <a:r>
            <a:rPr lang="en-US" altLang="zh-CN" sz="900"/>
            <a:t> </a:t>
          </a:r>
          <a:r>
            <a:rPr lang="en-US" altLang="zh-CN" sz="900">
              <a:solidFill>
                <a:schemeClr val="accent1"/>
              </a:solidFill>
            </a:rPr>
            <a:t>Range</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5</xdr:col>
          <xdr:colOff>0</xdr:colOff>
          <xdr:row>4</xdr:row>
          <xdr:rowOff>234950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673100</xdr:colOff>
          <xdr:row>40</xdr:row>
          <xdr:rowOff>171450</xdr:rowOff>
        </xdr:from>
        <xdr:to>
          <xdr:col>4</xdr:col>
          <xdr:colOff>603250</xdr:colOff>
          <xdr:row>42</xdr:row>
          <xdr:rowOff>69850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101600</xdr:colOff>
          <xdr:row>2</xdr:row>
          <xdr:rowOff>158750</xdr:rowOff>
        </xdr:from>
        <xdr:to>
          <xdr:col>4</xdr:col>
          <xdr:colOff>127000</xdr:colOff>
          <xdr:row>4</xdr:row>
          <xdr:rowOff>38100</xdr:rowOff>
        </xdr:to>
        <xdr:sp macro="" textlink="">
          <xdr:nvSpPr>
            <xdr:cNvPr id="3076" name="Drop Down 4" hidden="1">
              <a:extLst>
                <a:ext uri="{63B3BB69-23CF-44E3-9099-C40C66FF867C}">
                  <a14:compatExt spid="_x0000_s3076"/>
                </a:ext>
                <a:ext uri="{FF2B5EF4-FFF2-40B4-BE49-F238E27FC236}">
                  <a16:creationId xmlns:a16="http://schemas.microsoft.com/office/drawing/2014/main" id="{00000000-0008-0000-03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3660-539B-4F04-BD0D-E00A766AC85A}">
  <dimension ref="B1:V31"/>
  <sheetViews>
    <sheetView showGridLines="0" tabSelected="1" topLeftCell="A10" zoomScale="94" workbookViewId="0">
      <selection activeCell="G19" sqref="G19"/>
    </sheetView>
  </sheetViews>
  <sheetFormatPr defaultRowHeight="16.5"/>
  <cols>
    <col min="1" max="1" width="8.6640625" style="105"/>
    <col min="2" max="2" width="4.9140625" style="105" customWidth="1"/>
    <col min="3" max="3" width="18.58203125" style="105" customWidth="1"/>
    <col min="4" max="16" width="8.6640625" style="105"/>
    <col min="17" max="17" width="21.58203125" style="105" customWidth="1"/>
    <col min="18" max="21" width="8.6640625" style="105"/>
    <col min="22" max="22" width="4.5" style="105" customWidth="1"/>
    <col min="23" max="16384" width="8.6640625" style="105"/>
  </cols>
  <sheetData>
    <row r="1" spans="2:22" ht="17" thickBot="1"/>
    <row r="2" spans="2:22" ht="107" customHeight="1" thickTop="1">
      <c r="B2" s="685"/>
      <c r="C2" s="685" t="s">
        <v>387</v>
      </c>
      <c r="D2" s="686"/>
      <c r="E2" s="686"/>
      <c r="F2" s="686"/>
      <c r="G2" s="686"/>
      <c r="H2" s="686"/>
      <c r="I2" s="686"/>
      <c r="J2" s="686"/>
      <c r="K2" s="686"/>
      <c r="L2" s="686"/>
      <c r="M2" s="687"/>
      <c r="N2" s="687"/>
      <c r="O2" s="687"/>
      <c r="P2" s="687"/>
      <c r="Q2" s="687"/>
      <c r="R2" s="687"/>
      <c r="S2" s="687"/>
      <c r="T2" s="687"/>
      <c r="U2" s="687"/>
      <c r="V2" s="688"/>
    </row>
    <row r="3" spans="2:22">
      <c r="B3" s="677"/>
      <c r="V3" s="678"/>
    </row>
    <row r="4" spans="2:22" ht="29.5">
      <c r="B4" s="677"/>
      <c r="C4" s="679" t="s">
        <v>388</v>
      </c>
      <c r="U4" s="680" t="s">
        <v>392</v>
      </c>
      <c r="V4" s="678"/>
    </row>
    <row r="5" spans="2:22">
      <c r="B5" s="677"/>
      <c r="V5" s="678"/>
    </row>
    <row r="6" spans="2:22" ht="19.5">
      <c r="B6" s="677"/>
      <c r="C6" s="681" t="s">
        <v>399</v>
      </c>
      <c r="V6" s="678"/>
    </row>
    <row r="7" spans="2:22" ht="19.5">
      <c r="B7" s="677"/>
      <c r="C7" s="681" t="s">
        <v>400</v>
      </c>
      <c r="V7" s="678"/>
    </row>
    <row r="8" spans="2:22" ht="19.5">
      <c r="B8" s="677"/>
      <c r="C8" s="681" t="s">
        <v>401</v>
      </c>
      <c r="V8" s="678"/>
    </row>
    <row r="9" spans="2:22" ht="19.5">
      <c r="B9" s="677"/>
      <c r="C9" s="681" t="s">
        <v>402</v>
      </c>
      <c r="V9" s="678"/>
    </row>
    <row r="10" spans="2:22" ht="19.5">
      <c r="B10" s="677"/>
      <c r="C10" s="681"/>
      <c r="V10" s="678"/>
    </row>
    <row r="11" spans="2:22" ht="19.5">
      <c r="B11" s="677"/>
      <c r="C11" s="681"/>
      <c r="V11" s="678"/>
    </row>
    <row r="12" spans="2:22">
      <c r="B12" s="677"/>
      <c r="V12" s="678"/>
    </row>
    <row r="13" spans="2:22" ht="22">
      <c r="B13" s="677"/>
      <c r="C13" s="690" t="s">
        <v>389</v>
      </c>
      <c r="D13" s="253"/>
      <c r="E13" s="253"/>
      <c r="F13" s="253"/>
      <c r="G13" s="253"/>
      <c r="O13" s="690" t="s">
        <v>391</v>
      </c>
      <c r="P13" s="253"/>
      <c r="Q13" s="253"/>
      <c r="R13" s="253"/>
      <c r="S13" s="253"/>
      <c r="T13" s="253"/>
      <c r="U13" s="253"/>
      <c r="V13" s="678"/>
    </row>
    <row r="14" spans="2:22">
      <c r="B14" s="677"/>
      <c r="V14" s="678"/>
    </row>
    <row r="15" spans="2:22" ht="19.5">
      <c r="B15" s="677"/>
      <c r="C15" s="691" t="s">
        <v>393</v>
      </c>
      <c r="O15" s="689" t="s">
        <v>182</v>
      </c>
      <c r="P15" s="681"/>
      <c r="Q15" s="681"/>
      <c r="R15" s="681"/>
      <c r="S15" s="681"/>
      <c r="T15" s="681"/>
      <c r="U15" s="681" t="str">
        <f>IF('DCF Inputs'!M50&gt;'DCF Inputs'!M51,"yes", "No")</f>
        <v>No</v>
      </c>
      <c r="V15" s="678"/>
    </row>
    <row r="16" spans="2:22" ht="19.5">
      <c r="B16" s="677"/>
      <c r="C16" s="692" t="s">
        <v>394</v>
      </c>
      <c r="O16" s="689" t="s">
        <v>183</v>
      </c>
      <c r="P16" s="681"/>
      <c r="Q16" s="681"/>
      <c r="R16" s="681"/>
      <c r="S16" s="681"/>
      <c r="T16" s="681"/>
      <c r="U16" s="681" t="str">
        <f>IF('DCF Inputs'!M51&gt;'DCF Inputs'!M52,"Yes","No")</f>
        <v>No</v>
      </c>
      <c r="V16" s="678"/>
    </row>
    <row r="17" spans="2:22" ht="19.5">
      <c r="B17" s="677"/>
      <c r="C17" s="692" t="s">
        <v>395</v>
      </c>
      <c r="O17" s="689" t="s">
        <v>403</v>
      </c>
      <c r="P17" s="681"/>
      <c r="Q17" s="681"/>
      <c r="R17" s="681"/>
      <c r="S17" s="681"/>
      <c r="T17" s="681"/>
      <c r="U17" s="681" t="str">
        <f>IF('DCF Inputs'!G54&lt;='DCF Inputs'!G52,"Yes","No")</f>
        <v>No</v>
      </c>
      <c r="V17" s="678"/>
    </row>
    <row r="18" spans="2:22" ht="19.5">
      <c r="B18" s="677"/>
      <c r="C18" s="692" t="s">
        <v>396</v>
      </c>
      <c r="O18" s="689" t="s">
        <v>404</v>
      </c>
      <c r="P18" s="681"/>
      <c r="Q18" s="681"/>
      <c r="R18" s="681"/>
      <c r="S18" s="681"/>
      <c r="T18" s="681"/>
      <c r="U18" s="681" t="str">
        <f>IF('DCF Model'!P161=0,"No","Yes")</f>
        <v>No</v>
      </c>
      <c r="V18" s="678"/>
    </row>
    <row r="19" spans="2:22" ht="19.5">
      <c r="B19" s="677"/>
      <c r="C19" s="692" t="s">
        <v>397</v>
      </c>
      <c r="O19" s="689" t="s">
        <v>405</v>
      </c>
      <c r="P19" s="681"/>
      <c r="Q19" s="681"/>
      <c r="R19" s="681"/>
      <c r="S19" s="681"/>
      <c r="T19" s="681"/>
      <c r="U19" s="681" t="str">
        <f>IF('DCF Model'!P194=0,"No","Yes")</f>
        <v>No</v>
      </c>
      <c r="V19" s="678"/>
    </row>
    <row r="20" spans="2:22" ht="19.5">
      <c r="B20" s="677"/>
      <c r="C20" s="692" t="s">
        <v>398</v>
      </c>
      <c r="O20" s="689" t="s">
        <v>406</v>
      </c>
      <c r="P20" s="681"/>
      <c r="Q20" s="681"/>
      <c r="R20" s="681"/>
      <c r="S20" s="681"/>
      <c r="T20" s="681"/>
      <c r="U20" s="681" t="str">
        <f>IF(SUM('DCF Model'!L215:Q215)=SUM('DCF Model'!L225:Q225),"No","Yes")</f>
        <v>No</v>
      </c>
      <c r="V20" s="678"/>
    </row>
    <row r="21" spans="2:22" ht="17.5">
      <c r="B21" s="677"/>
      <c r="C21" s="692" t="s">
        <v>408</v>
      </c>
      <c r="V21" s="678"/>
    </row>
    <row r="22" spans="2:22">
      <c r="B22" s="677"/>
      <c r="V22" s="678"/>
    </row>
    <row r="23" spans="2:22">
      <c r="B23" s="677"/>
      <c r="V23" s="678"/>
    </row>
    <row r="24" spans="2:22">
      <c r="B24" s="677"/>
      <c r="V24" s="678"/>
    </row>
    <row r="25" spans="2:22">
      <c r="B25" s="677"/>
      <c r="V25" s="678"/>
    </row>
    <row r="26" spans="2:22">
      <c r="B26" s="677"/>
      <c r="V26" s="678"/>
    </row>
    <row r="27" spans="2:22">
      <c r="B27" s="677"/>
      <c r="V27" s="678"/>
    </row>
    <row r="28" spans="2:22" ht="22">
      <c r="B28" s="677"/>
      <c r="C28" s="690" t="s">
        <v>390</v>
      </c>
      <c r="D28" s="253"/>
      <c r="E28" s="253"/>
      <c r="F28" s="253"/>
      <c r="G28" s="253"/>
      <c r="H28" s="253"/>
      <c r="I28" s="253"/>
      <c r="J28" s="253"/>
      <c r="K28" s="253"/>
      <c r="L28" s="253"/>
      <c r="M28" s="253"/>
      <c r="N28" s="253"/>
      <c r="O28" s="253"/>
      <c r="P28" s="253"/>
      <c r="Q28" s="253"/>
      <c r="R28" s="253"/>
      <c r="S28" s="253"/>
      <c r="T28" s="253"/>
      <c r="U28" s="253"/>
      <c r="V28" s="678"/>
    </row>
    <row r="29" spans="2:22" ht="60" customHeight="1">
      <c r="B29" s="677"/>
      <c r="C29" s="693" t="s">
        <v>407</v>
      </c>
      <c r="D29" s="693"/>
      <c r="E29" s="693"/>
      <c r="F29" s="693"/>
      <c r="G29" s="693"/>
      <c r="H29" s="693"/>
      <c r="I29" s="693"/>
      <c r="J29" s="693"/>
      <c r="K29" s="693"/>
      <c r="L29" s="693"/>
      <c r="M29" s="693"/>
      <c r="N29" s="693"/>
      <c r="O29" s="693"/>
      <c r="P29" s="693"/>
      <c r="Q29" s="693"/>
      <c r="R29" s="693"/>
      <c r="S29" s="693"/>
      <c r="T29" s="693"/>
      <c r="U29" s="693"/>
      <c r="V29" s="678"/>
    </row>
    <row r="30" spans="2:22" ht="17" thickBot="1">
      <c r="B30" s="682"/>
      <c r="C30" s="683"/>
      <c r="D30" s="683"/>
      <c r="E30" s="683"/>
      <c r="F30" s="683"/>
      <c r="G30" s="683"/>
      <c r="H30" s="683"/>
      <c r="I30" s="683"/>
      <c r="J30" s="683"/>
      <c r="K30" s="683"/>
      <c r="L30" s="683"/>
      <c r="M30" s="683"/>
      <c r="N30" s="683"/>
      <c r="O30" s="683"/>
      <c r="P30" s="683"/>
      <c r="Q30" s="683"/>
      <c r="R30" s="683"/>
      <c r="S30" s="683"/>
      <c r="T30" s="683"/>
      <c r="U30" s="683"/>
      <c r="V30" s="684"/>
    </row>
    <row r="31" spans="2:22" ht="17" thickTop="1"/>
  </sheetData>
  <mergeCells count="1">
    <mergeCell ref="C29:U29"/>
  </mergeCells>
  <phoneticPr fontId="1" type="noConversion"/>
  <hyperlinks>
    <hyperlink ref="C15" location="Dashboard!A1" display="Dashboard" xr:uid="{47D9C803-AE1C-4835-B951-C1BBE3804198}"/>
    <hyperlink ref="C16" location="'DCF Sensitivity Analysis'!A1" display="Sensitivity Analysis" xr:uid="{E67687CF-0F86-4929-9690-42A14084A167}"/>
    <hyperlink ref="C17" location="'DCF Inputs'!A1" display="Input" xr:uid="{78419755-2906-49A2-950F-04D718FB8B69}"/>
    <hyperlink ref="C18" location="'DCF Model'!A1" display="DCF Model" xr:uid="{354DBF4B-6206-462E-AC1A-A96372D1B51D}"/>
    <hyperlink ref="C19" location="Comps!A1" display="Comparable Anlysis" xr:uid="{76002AD3-8AED-49F9-9E94-DB3AB0820D6E}"/>
    <hyperlink ref="C20" location="Transactions!A1" display="Precendent Transactions" xr:uid="{2B4ED7EF-4876-416C-841A-570BE526E9E0}"/>
    <hyperlink ref="C21" location="'RH Financial Report'!A1" display="RH Fiancial Report" xr:uid="{D8F273D8-F1BB-432A-A110-D4CD5BE640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89FD-6FE6-47A3-A2C4-571856D757B5}">
  <dimension ref="B2:Z67"/>
  <sheetViews>
    <sheetView showGridLines="0" topLeftCell="A36" zoomScale="90" zoomScaleNormal="100" workbookViewId="0">
      <selection activeCell="N17" sqref="N17"/>
    </sheetView>
  </sheetViews>
  <sheetFormatPr defaultRowHeight="14"/>
  <cols>
    <col min="3" max="3" width="31.5" customWidth="1"/>
    <col min="4" max="4" width="15.1640625" customWidth="1"/>
    <col min="5" max="5" width="14.1640625" customWidth="1"/>
    <col min="6" max="6" width="11.6640625" customWidth="1"/>
    <col min="7" max="7" width="11.1640625" customWidth="1"/>
    <col min="15" max="15" width="11.33203125" customWidth="1"/>
    <col min="16" max="16" width="10.83203125" customWidth="1"/>
  </cols>
  <sheetData>
    <row r="2" spans="2:26" ht="22">
      <c r="B2" s="231" t="s">
        <v>370</v>
      </c>
      <c r="C2" s="214"/>
      <c r="D2" s="214"/>
      <c r="E2" s="214"/>
      <c r="F2" s="214"/>
      <c r="G2" s="214"/>
      <c r="H2" s="214"/>
      <c r="I2" s="214"/>
      <c r="J2" s="214"/>
      <c r="K2" s="214"/>
      <c r="L2" s="231"/>
      <c r="M2" s="214"/>
      <c r="N2" s="107"/>
      <c r="O2" s="231" t="s">
        <v>371</v>
      </c>
      <c r="P2" s="214"/>
      <c r="Q2" s="214"/>
      <c r="R2" s="214"/>
      <c r="S2" s="214"/>
      <c r="T2" s="214"/>
      <c r="U2" s="605"/>
      <c r="V2" s="605"/>
      <c r="W2" s="605"/>
      <c r="X2" s="605"/>
      <c r="Y2" s="605"/>
      <c r="Z2" s="605"/>
    </row>
    <row r="3" spans="2:26" ht="20.5">
      <c r="B3" s="618"/>
      <c r="C3" s="619"/>
      <c r="D3" s="620"/>
      <c r="E3" s="107"/>
      <c r="F3" s="107"/>
      <c r="G3" s="107"/>
      <c r="H3" s="107"/>
      <c r="I3" s="107"/>
      <c r="J3" s="107"/>
      <c r="K3" s="621"/>
      <c r="L3" s="621"/>
      <c r="M3" s="621"/>
      <c r="N3" s="621"/>
      <c r="O3" s="621"/>
      <c r="P3" s="621"/>
      <c r="Q3" s="621"/>
      <c r="R3" s="621"/>
      <c r="S3" s="621"/>
      <c r="T3" s="621"/>
      <c r="U3" s="605"/>
      <c r="V3" s="605"/>
      <c r="W3" s="605"/>
      <c r="X3" s="605"/>
      <c r="Y3" s="605"/>
      <c r="Z3" s="605"/>
    </row>
    <row r="4" spans="2:26" ht="20.5">
      <c r="B4" s="618"/>
      <c r="C4" s="619"/>
      <c r="D4" s="620"/>
      <c r="E4" s="107"/>
      <c r="F4" s="107"/>
      <c r="G4" s="107"/>
      <c r="H4" s="107"/>
      <c r="I4" s="107"/>
      <c r="J4" s="107"/>
      <c r="K4" s="621"/>
      <c r="L4" s="621"/>
      <c r="M4" s="621"/>
      <c r="N4" s="621"/>
      <c r="O4" s="650" t="s">
        <v>356</v>
      </c>
      <c r="P4" s="651"/>
      <c r="Q4" s="652"/>
      <c r="R4" s="621"/>
      <c r="S4" s="621"/>
      <c r="T4" s="621"/>
      <c r="U4" s="605"/>
      <c r="V4" s="605"/>
      <c r="W4" s="605"/>
      <c r="X4" s="605"/>
      <c r="Y4" s="605"/>
      <c r="Z4" s="605"/>
    </row>
    <row r="5" spans="2:26" ht="20.5">
      <c r="B5" s="639" t="str">
        <f>CONCATENATE("Company Name: "&amp;Q5)</f>
        <v>Company Name: RH</v>
      </c>
      <c r="C5" s="640"/>
      <c r="D5" s="641"/>
      <c r="E5" s="639" t="str">
        <f>CONCATENATE("Recommendation: "&amp;Q6)</f>
        <v>Recommendation: Hold</v>
      </c>
      <c r="F5" s="642"/>
      <c r="G5" s="642"/>
      <c r="H5" s="642"/>
      <c r="I5" s="240"/>
      <c r="J5" s="643"/>
      <c r="K5" s="642"/>
      <c r="L5" s="639" t="str">
        <f>CONCATENATE("Target Price: "&amp;Q7)</f>
        <v>Target Price: 173.21</v>
      </c>
      <c r="M5" s="643"/>
      <c r="N5" s="605"/>
      <c r="O5" s="646" t="s">
        <v>357</v>
      </c>
      <c r="P5" s="621"/>
      <c r="Q5" s="647" t="s">
        <v>366</v>
      </c>
      <c r="R5" s="605"/>
      <c r="S5" s="605"/>
      <c r="T5" s="605"/>
      <c r="U5" s="605"/>
      <c r="V5" s="605"/>
      <c r="W5" s="605"/>
      <c r="X5" s="605"/>
      <c r="Y5" s="605"/>
      <c r="Z5" s="605"/>
    </row>
    <row r="6" spans="2:26" ht="20.5">
      <c r="B6" s="622"/>
      <c r="C6" s="618"/>
      <c r="D6" s="618"/>
      <c r="E6" s="618"/>
      <c r="F6" s="618"/>
      <c r="G6" s="622"/>
      <c r="H6" s="618"/>
      <c r="I6" s="618"/>
      <c r="J6" s="618"/>
      <c r="K6" s="618"/>
      <c r="L6" s="618"/>
      <c r="M6" s="618"/>
      <c r="N6" s="605"/>
      <c r="O6" s="646" t="s">
        <v>358</v>
      </c>
      <c r="P6" s="621"/>
      <c r="Q6" s="647" t="s">
        <v>385</v>
      </c>
      <c r="R6" s="605"/>
      <c r="S6" s="605"/>
      <c r="T6" s="605"/>
      <c r="U6" s="605"/>
      <c r="V6" s="605"/>
      <c r="W6" s="605"/>
      <c r="X6" s="605"/>
      <c r="Y6" s="605"/>
      <c r="Z6" s="605"/>
    </row>
    <row r="7" spans="2:26" ht="18">
      <c r="B7" s="618"/>
      <c r="C7" s="618"/>
      <c r="D7" s="618"/>
      <c r="E7" s="618"/>
      <c r="F7" s="618"/>
      <c r="G7" s="618"/>
      <c r="H7" s="618"/>
      <c r="I7" s="605"/>
      <c r="J7" s="605"/>
      <c r="K7" s="605"/>
      <c r="L7" s="605"/>
      <c r="M7" s="605"/>
      <c r="N7" s="605"/>
      <c r="O7" s="648" t="s">
        <v>359</v>
      </c>
      <c r="P7" s="642"/>
      <c r="Q7" s="649">
        <v>173.21</v>
      </c>
      <c r="R7" s="605"/>
      <c r="S7" s="605"/>
      <c r="T7" s="605"/>
      <c r="U7" s="605"/>
      <c r="V7" s="605"/>
      <c r="W7" s="605"/>
      <c r="X7" s="605"/>
      <c r="Y7" s="605"/>
      <c r="Z7" s="605"/>
    </row>
    <row r="8" spans="2:26" ht="18">
      <c r="B8" s="618"/>
      <c r="C8" s="618"/>
      <c r="D8" s="623"/>
      <c r="E8" s="618"/>
      <c r="F8" s="618"/>
      <c r="G8" s="618"/>
      <c r="H8" s="618"/>
      <c r="I8" s="605"/>
      <c r="J8" s="605"/>
      <c r="K8" s="605"/>
      <c r="L8" s="605"/>
      <c r="M8" s="605"/>
      <c r="N8" s="605"/>
      <c r="R8" s="605"/>
      <c r="S8" s="605"/>
      <c r="T8" s="605"/>
      <c r="U8" s="605"/>
      <c r="V8" s="605"/>
      <c r="W8" s="605"/>
      <c r="X8" s="605"/>
      <c r="Y8" s="605"/>
      <c r="Z8" s="605"/>
    </row>
    <row r="9" spans="2:26" ht="18">
      <c r="B9" s="618"/>
      <c r="C9" s="618"/>
      <c r="D9" s="623"/>
      <c r="E9" s="618"/>
      <c r="F9" s="618"/>
      <c r="G9" s="618"/>
      <c r="H9" s="618"/>
      <c r="I9" s="605"/>
      <c r="J9" s="605"/>
      <c r="K9" s="605"/>
      <c r="L9" s="605"/>
      <c r="M9" s="605"/>
      <c r="N9" s="605"/>
      <c r="O9" s="605"/>
      <c r="P9" s="605"/>
      <c r="Q9" s="605"/>
      <c r="R9" s="605"/>
      <c r="S9" s="605"/>
      <c r="T9" s="605"/>
      <c r="U9" s="605"/>
      <c r="V9" s="605"/>
      <c r="W9" s="605"/>
      <c r="X9" s="605"/>
      <c r="Y9" s="605"/>
      <c r="Z9" s="605"/>
    </row>
    <row r="10" spans="2:26" ht="18">
      <c r="B10" s="618"/>
      <c r="C10" s="618"/>
      <c r="D10" s="624"/>
      <c r="E10" s="618"/>
      <c r="F10" s="618"/>
      <c r="G10" s="618"/>
      <c r="H10" s="618"/>
      <c r="I10" s="605"/>
      <c r="J10" s="605"/>
      <c r="K10" s="605"/>
      <c r="L10" s="605"/>
      <c r="M10" s="605"/>
      <c r="N10" s="605"/>
      <c r="O10" s="605"/>
      <c r="P10" s="605"/>
      <c r="Q10" s="605"/>
      <c r="R10" s="605"/>
      <c r="S10" s="605"/>
      <c r="T10" s="605"/>
      <c r="U10" s="605"/>
      <c r="V10" s="605"/>
      <c r="W10" s="605"/>
      <c r="X10" s="605"/>
      <c r="Y10" s="605"/>
      <c r="Z10" s="605"/>
    </row>
    <row r="11" spans="2:26" ht="18">
      <c r="B11" s="618"/>
      <c r="C11" s="618"/>
      <c r="D11" s="625"/>
      <c r="E11" s="618"/>
      <c r="F11" s="618"/>
      <c r="G11" s="618"/>
      <c r="H11" s="618"/>
      <c r="I11" s="605"/>
      <c r="J11" s="605"/>
      <c r="K11" s="605"/>
      <c r="L11" s="605"/>
      <c r="M11" s="605"/>
      <c r="N11" s="605"/>
      <c r="O11" s="605"/>
      <c r="P11" s="605"/>
      <c r="Q11" s="605"/>
      <c r="R11" s="605"/>
      <c r="S11" s="605"/>
      <c r="T11" s="605"/>
      <c r="U11" s="605"/>
      <c r="V11" s="605"/>
      <c r="W11" s="605"/>
      <c r="X11" s="605"/>
      <c r="Y11" s="605"/>
      <c r="Z11" s="605"/>
    </row>
    <row r="12" spans="2:26" ht="18">
      <c r="B12" s="618"/>
      <c r="C12" s="618"/>
      <c r="D12" s="618"/>
      <c r="E12" s="618"/>
      <c r="F12" s="618"/>
      <c r="G12" s="618"/>
      <c r="H12" s="618"/>
      <c r="I12" s="605"/>
      <c r="J12" s="605"/>
      <c r="K12" s="605"/>
      <c r="L12" s="605"/>
      <c r="M12" s="605"/>
      <c r="N12" s="605"/>
      <c r="O12" s="605"/>
      <c r="P12" s="605"/>
      <c r="Q12" s="605"/>
      <c r="R12" s="605"/>
      <c r="S12" s="605"/>
      <c r="T12" s="605"/>
      <c r="U12" s="605"/>
      <c r="V12" s="605"/>
      <c r="W12" s="605"/>
      <c r="X12" s="605"/>
      <c r="Y12" s="605"/>
      <c r="Z12" s="605"/>
    </row>
    <row r="13" spans="2:26" ht="18">
      <c r="B13" s="618"/>
      <c r="C13" s="618"/>
      <c r="D13" s="618"/>
      <c r="E13" s="618"/>
      <c r="F13" s="618"/>
      <c r="G13" s="618"/>
      <c r="H13" s="618"/>
      <c r="I13" s="605"/>
      <c r="J13" s="605"/>
      <c r="K13" s="605"/>
      <c r="L13" s="605"/>
      <c r="M13" s="605"/>
      <c r="N13" s="618"/>
      <c r="O13" s="605"/>
      <c r="P13" s="605"/>
      <c r="Q13" s="605"/>
      <c r="R13" s="605"/>
      <c r="S13" s="605"/>
      <c r="T13" s="605"/>
      <c r="U13" s="605"/>
      <c r="V13" s="605"/>
      <c r="W13" s="605"/>
      <c r="X13" s="605"/>
      <c r="Y13" s="605"/>
      <c r="Z13" s="605"/>
    </row>
    <row r="14" spans="2:26" ht="18">
      <c r="B14" s="618"/>
      <c r="C14" s="618"/>
      <c r="D14" s="618"/>
      <c r="E14" s="618"/>
      <c r="F14" s="618"/>
      <c r="G14" s="618"/>
      <c r="H14" s="618"/>
      <c r="I14" s="605"/>
      <c r="J14" s="605"/>
      <c r="K14" s="605"/>
      <c r="L14" s="605"/>
      <c r="M14" s="605"/>
      <c r="N14" s="605"/>
      <c r="O14" s="605"/>
      <c r="P14" s="605"/>
      <c r="Q14" s="605"/>
      <c r="R14" s="605"/>
      <c r="S14" s="605"/>
      <c r="T14" s="605"/>
      <c r="U14" s="605"/>
      <c r="V14" s="605"/>
      <c r="W14" s="605"/>
      <c r="X14" s="605"/>
      <c r="Y14" s="605"/>
      <c r="Z14" s="605"/>
    </row>
    <row r="15" spans="2:26" ht="18">
      <c r="B15" s="618"/>
      <c r="C15" s="618"/>
      <c r="D15" s="618"/>
      <c r="E15" s="618"/>
      <c r="F15" s="618"/>
      <c r="G15" s="618"/>
      <c r="H15" s="618"/>
      <c r="I15" s="605"/>
      <c r="J15" s="605"/>
      <c r="K15" s="605"/>
      <c r="L15" s="605"/>
      <c r="M15" s="605"/>
      <c r="N15" s="605"/>
      <c r="O15" s="605"/>
      <c r="P15" s="605"/>
      <c r="Q15" s="605"/>
      <c r="R15" s="605"/>
      <c r="S15" s="605"/>
      <c r="T15" s="605"/>
      <c r="U15" s="605"/>
      <c r="V15" s="605"/>
      <c r="W15" s="605"/>
      <c r="X15" s="605"/>
      <c r="Y15" s="605"/>
      <c r="Z15" s="605"/>
    </row>
    <row r="16" spans="2:26" ht="18">
      <c r="B16" s="618"/>
      <c r="C16" s="618"/>
      <c r="D16" s="618"/>
      <c r="E16" s="618"/>
      <c r="F16" s="618"/>
      <c r="G16" s="618"/>
      <c r="H16" s="618"/>
      <c r="I16" s="605"/>
      <c r="J16" s="605"/>
      <c r="K16" s="605"/>
      <c r="L16" s="605"/>
      <c r="M16" s="605"/>
      <c r="N16" s="605"/>
      <c r="O16" s="605"/>
      <c r="P16" s="605"/>
      <c r="Q16" s="605"/>
      <c r="R16" s="605"/>
      <c r="S16" s="605"/>
      <c r="T16" s="605"/>
      <c r="U16" s="605"/>
      <c r="V16" s="605"/>
      <c r="W16" s="605"/>
      <c r="X16" s="605"/>
      <c r="Y16" s="605"/>
      <c r="Z16" s="605"/>
    </row>
    <row r="17" spans="3:26" ht="20.5">
      <c r="C17" s="644" t="s">
        <v>365</v>
      </c>
      <c r="D17" s="645"/>
      <c r="E17" s="645"/>
      <c r="F17" s="645"/>
      <c r="G17" s="645"/>
      <c r="H17" s="645"/>
      <c r="I17" s="605"/>
      <c r="J17" s="605"/>
      <c r="K17" s="605"/>
      <c r="L17" s="605"/>
      <c r="M17" s="605"/>
      <c r="N17" s="605"/>
      <c r="O17" s="85"/>
      <c r="P17" s="621"/>
      <c r="Q17" s="621"/>
      <c r="R17" s="626"/>
      <c r="S17" s="627"/>
      <c r="T17" s="626"/>
      <c r="U17" s="626"/>
      <c r="V17" s="605"/>
      <c r="W17" s="605"/>
      <c r="X17" s="605"/>
      <c r="Y17" s="605"/>
      <c r="Z17" s="605"/>
    </row>
    <row r="18" spans="3:26" ht="20.5">
      <c r="C18" s="618"/>
      <c r="D18" s="618"/>
      <c r="F18" s="618"/>
      <c r="G18" s="618"/>
      <c r="H18" s="618"/>
      <c r="I18" s="605"/>
      <c r="J18" s="605"/>
      <c r="K18" s="605"/>
      <c r="L18" s="605"/>
      <c r="M18" s="605"/>
      <c r="N18" s="605"/>
      <c r="O18" s="85"/>
      <c r="P18" s="621"/>
      <c r="Q18" s="621"/>
      <c r="R18" s="626"/>
      <c r="S18" s="627"/>
      <c r="T18" s="626"/>
      <c r="U18" s="626"/>
      <c r="V18" s="605"/>
      <c r="W18" s="605"/>
      <c r="X18" s="605"/>
      <c r="Y18" s="605"/>
      <c r="Z18" s="605"/>
    </row>
    <row r="19" spans="3:26" ht="20.5">
      <c r="C19" s="618"/>
      <c r="D19" s="618"/>
      <c r="E19" s="618"/>
      <c r="F19" s="618"/>
      <c r="G19" s="618"/>
      <c r="H19" s="618"/>
      <c r="I19" s="605"/>
      <c r="J19" s="605"/>
      <c r="K19" s="605"/>
      <c r="L19" s="605"/>
      <c r="M19" s="605"/>
      <c r="N19" s="605"/>
      <c r="O19" s="85"/>
      <c r="P19" s="621"/>
      <c r="Q19" s="621"/>
      <c r="R19" s="626"/>
      <c r="S19" s="627"/>
      <c r="T19" s="626"/>
      <c r="U19" s="626"/>
      <c r="V19" s="605"/>
      <c r="W19" s="605"/>
      <c r="X19" s="605"/>
      <c r="Y19" s="605"/>
      <c r="Z19" s="605"/>
    </row>
    <row r="20" spans="3:26" ht="20.5">
      <c r="C20" s="618"/>
      <c r="D20" s="618"/>
      <c r="E20" s="618"/>
      <c r="F20" s="618"/>
      <c r="G20" s="618"/>
      <c r="H20" s="618"/>
      <c r="I20" s="605"/>
      <c r="J20" s="605"/>
      <c r="K20" s="605"/>
      <c r="L20" s="605"/>
      <c r="M20" s="605"/>
      <c r="N20" s="605"/>
      <c r="O20" s="85"/>
      <c r="P20" s="621"/>
      <c r="Q20" s="621"/>
      <c r="R20" s="626"/>
      <c r="S20" s="627"/>
      <c r="T20" s="626"/>
      <c r="U20" s="626"/>
      <c r="V20" s="605"/>
      <c r="W20" s="605"/>
      <c r="X20" s="605"/>
      <c r="Y20" s="605"/>
      <c r="Z20" s="605"/>
    </row>
    <row r="21" spans="3:26" ht="20.5">
      <c r="C21" s="618"/>
      <c r="D21" s="618"/>
      <c r="E21" s="618"/>
      <c r="F21" s="618"/>
      <c r="G21" s="618"/>
      <c r="H21" s="618"/>
      <c r="I21" s="605"/>
      <c r="J21" s="605"/>
      <c r="K21" s="605"/>
      <c r="L21" s="605"/>
      <c r="M21" s="605"/>
      <c r="N21" s="605"/>
      <c r="O21" s="85"/>
      <c r="P21" s="621"/>
      <c r="Q21" s="621"/>
      <c r="R21" s="626"/>
      <c r="S21" s="627"/>
      <c r="T21" s="626"/>
      <c r="U21" s="626"/>
      <c r="V21" s="605"/>
      <c r="W21" s="605"/>
      <c r="X21" s="605"/>
      <c r="Y21" s="605"/>
      <c r="Z21" s="605"/>
    </row>
    <row r="22" spans="3:26" ht="20.5">
      <c r="C22" s="618"/>
      <c r="D22" s="618"/>
      <c r="E22" s="618"/>
      <c r="F22" s="618"/>
      <c r="G22" s="618"/>
      <c r="H22" s="618"/>
      <c r="I22" s="605"/>
      <c r="J22" s="605"/>
      <c r="K22" s="605"/>
      <c r="L22" s="605"/>
      <c r="M22" s="605"/>
      <c r="N22" s="605"/>
      <c r="O22" s="85"/>
      <c r="P22" s="621"/>
      <c r="Q22" s="621"/>
      <c r="R22" s="626"/>
      <c r="S22" s="627"/>
      <c r="T22" s="626"/>
      <c r="U22" s="626"/>
      <c r="V22" s="605"/>
      <c r="W22" s="605"/>
      <c r="X22" s="605"/>
      <c r="Y22" s="605"/>
      <c r="Z22" s="605"/>
    </row>
    <row r="23" spans="3:26" ht="20.5">
      <c r="C23" s="618"/>
      <c r="D23" s="618"/>
      <c r="E23" s="618"/>
      <c r="F23" s="618"/>
      <c r="G23" s="618"/>
      <c r="H23" s="618"/>
      <c r="I23" s="605"/>
      <c r="J23" s="605"/>
      <c r="N23" s="605"/>
      <c r="O23" s="85"/>
      <c r="P23" s="621"/>
      <c r="Q23" s="621"/>
      <c r="R23" s="626"/>
      <c r="S23" s="627"/>
      <c r="T23" s="626"/>
      <c r="U23" s="626"/>
      <c r="V23" s="605"/>
      <c r="W23" s="605"/>
      <c r="X23" s="605"/>
      <c r="Y23" s="605"/>
      <c r="Z23" s="605"/>
    </row>
    <row r="24" spans="3:26" ht="20.5">
      <c r="C24" s="618"/>
      <c r="D24" s="618"/>
      <c r="E24" s="618"/>
      <c r="F24" s="618"/>
      <c r="G24" s="618"/>
      <c r="H24" s="618"/>
      <c r="I24" s="605"/>
      <c r="J24" s="605"/>
      <c r="K24" s="605"/>
      <c r="L24" s="605"/>
      <c r="M24" s="605"/>
      <c r="N24" s="605"/>
      <c r="O24" s="85"/>
      <c r="P24" s="621"/>
      <c r="Q24" s="621"/>
      <c r="R24" s="626"/>
      <c r="S24" s="627"/>
      <c r="T24" s="626"/>
      <c r="U24" s="626"/>
      <c r="V24" s="605"/>
      <c r="W24" s="605"/>
      <c r="X24" s="605"/>
      <c r="Y24" s="605"/>
      <c r="Z24" s="605"/>
    </row>
    <row r="25" spans="3:26" ht="20.5">
      <c r="C25" s="618"/>
      <c r="D25" s="618"/>
      <c r="E25" s="618"/>
      <c r="F25" s="618"/>
      <c r="G25" s="618"/>
      <c r="H25" s="618"/>
      <c r="I25" s="605"/>
      <c r="J25" s="605"/>
      <c r="K25" s="605"/>
      <c r="L25" s="605"/>
      <c r="M25" s="605"/>
      <c r="N25" s="605"/>
      <c r="O25" s="85"/>
      <c r="P25" s="621"/>
      <c r="Q25" s="621"/>
      <c r="R25" s="626"/>
      <c r="S25" s="627"/>
      <c r="T25" s="626"/>
      <c r="U25" s="626"/>
      <c r="V25" s="605"/>
      <c r="W25" s="605"/>
      <c r="X25" s="605"/>
      <c r="Y25" s="605"/>
      <c r="Z25" s="605"/>
    </row>
    <row r="26" spans="3:26" ht="20.5">
      <c r="C26" s="618"/>
      <c r="D26" s="618"/>
      <c r="E26" s="618"/>
      <c r="F26" s="618"/>
      <c r="G26" s="618"/>
      <c r="H26" s="618"/>
      <c r="I26" s="605"/>
      <c r="J26" s="605"/>
      <c r="K26" s="605"/>
      <c r="Q26" s="621"/>
      <c r="R26" s="626"/>
      <c r="S26" s="627"/>
      <c r="T26" s="626"/>
      <c r="U26" s="626"/>
      <c r="V26" s="605"/>
      <c r="W26" s="605"/>
      <c r="X26" s="605"/>
      <c r="Y26" s="605"/>
      <c r="Z26" s="605"/>
    </row>
    <row r="27" spans="3:26" ht="20.5">
      <c r="C27" s="618"/>
      <c r="D27" s="618"/>
      <c r="E27" s="618"/>
      <c r="F27" s="618"/>
      <c r="G27" s="618"/>
      <c r="H27" s="618"/>
      <c r="I27" s="605"/>
      <c r="J27" s="605"/>
      <c r="K27" s="605"/>
      <c r="L27" s="605"/>
      <c r="M27" s="605"/>
      <c r="N27" s="605"/>
      <c r="O27" s="85"/>
      <c r="P27" s="621"/>
      <c r="Q27" s="621"/>
      <c r="R27" s="626"/>
      <c r="S27" s="627"/>
      <c r="T27" s="626"/>
      <c r="U27" s="626"/>
      <c r="V27" s="605"/>
      <c r="W27" s="605"/>
      <c r="X27" s="605"/>
      <c r="Y27" s="605"/>
      <c r="Z27" s="605"/>
    </row>
    <row r="28" spans="3:26" ht="20.5">
      <c r="C28" s="618"/>
      <c r="D28" s="618"/>
      <c r="E28" s="618"/>
      <c r="F28" s="618"/>
      <c r="G28" s="618"/>
      <c r="H28" s="618"/>
      <c r="I28" s="605"/>
      <c r="J28" s="605"/>
      <c r="K28" s="605"/>
      <c r="L28" s="605"/>
      <c r="M28" s="605"/>
      <c r="N28" s="605"/>
      <c r="O28" s="85"/>
      <c r="P28" s="621"/>
      <c r="Q28" s="621"/>
      <c r="R28" s="626"/>
      <c r="S28" s="627"/>
      <c r="T28" s="626"/>
      <c r="U28" s="626"/>
      <c r="V28" s="605"/>
      <c r="W28" s="605"/>
      <c r="X28" s="605"/>
      <c r="Y28" s="605"/>
      <c r="Z28" s="605"/>
    </row>
    <row r="29" spans="3:26" ht="20.5">
      <c r="C29" s="618"/>
      <c r="D29" s="618"/>
      <c r="E29" s="618"/>
      <c r="F29" s="618"/>
      <c r="G29" s="618"/>
      <c r="H29" s="618"/>
      <c r="I29" s="605"/>
      <c r="J29" s="605"/>
      <c r="K29" s="605"/>
      <c r="L29" s="605"/>
      <c r="M29" s="605"/>
      <c r="N29" s="605"/>
      <c r="O29" s="85"/>
      <c r="P29" s="621"/>
      <c r="Q29" s="621"/>
      <c r="R29" s="626"/>
      <c r="S29" s="627"/>
      <c r="T29" s="626"/>
      <c r="U29" s="626"/>
      <c r="V29" s="605"/>
      <c r="W29" s="605"/>
      <c r="X29" s="605"/>
      <c r="Y29" s="605"/>
      <c r="Z29" s="605"/>
    </row>
    <row r="30" spans="3:26" ht="20.5">
      <c r="C30" s="618"/>
      <c r="D30" s="618"/>
      <c r="E30" s="618"/>
      <c r="F30" s="618"/>
      <c r="G30" s="618"/>
      <c r="H30" s="618"/>
      <c r="I30" s="605"/>
      <c r="J30" s="605"/>
      <c r="K30" s="605"/>
      <c r="L30" s="605"/>
      <c r="M30" s="605"/>
      <c r="N30" s="605"/>
      <c r="O30" s="85"/>
      <c r="P30" s="621"/>
      <c r="Q30" s="621"/>
      <c r="R30" s="626"/>
      <c r="S30" s="627"/>
      <c r="T30" s="626"/>
      <c r="U30" s="626"/>
      <c r="V30" s="605"/>
      <c r="W30" s="605"/>
      <c r="X30" s="605"/>
      <c r="Y30" s="605"/>
      <c r="Z30" s="605"/>
    </row>
    <row r="31" spans="3:26" ht="20.5">
      <c r="C31" s="618"/>
      <c r="D31" s="618"/>
      <c r="E31" s="618"/>
      <c r="F31" s="618"/>
      <c r="G31" s="618"/>
      <c r="H31" s="618"/>
      <c r="I31" s="605"/>
      <c r="J31" s="605"/>
      <c r="K31" s="605"/>
      <c r="L31" s="605"/>
      <c r="M31" s="605"/>
      <c r="N31" s="605"/>
      <c r="O31" s="85"/>
      <c r="P31" s="621"/>
      <c r="Q31" s="621"/>
      <c r="R31" s="626"/>
      <c r="S31" s="627"/>
      <c r="T31" s="626"/>
      <c r="U31" s="626"/>
      <c r="V31" s="605"/>
      <c r="W31" s="605"/>
      <c r="X31" s="605"/>
      <c r="Y31" s="605"/>
      <c r="Z31" s="605"/>
    </row>
    <row r="32" spans="3:26" ht="20.5">
      <c r="C32" s="618"/>
      <c r="D32" s="618"/>
      <c r="E32" s="618"/>
      <c r="F32" s="618"/>
      <c r="G32" s="618"/>
      <c r="H32" s="618"/>
      <c r="I32" s="605"/>
      <c r="J32" s="605"/>
      <c r="K32" s="605"/>
      <c r="L32" s="605"/>
      <c r="M32" s="605"/>
      <c r="N32" s="605"/>
      <c r="O32" s="85"/>
      <c r="P32" s="621"/>
      <c r="Q32" s="621"/>
      <c r="R32" s="626"/>
      <c r="S32" s="627"/>
      <c r="T32" s="626"/>
      <c r="U32" s="626"/>
      <c r="V32" s="605"/>
      <c r="W32" s="605"/>
      <c r="X32" s="605"/>
      <c r="Y32" s="605"/>
      <c r="Z32" s="605"/>
    </row>
    <row r="33" spans="3:26" ht="20.5">
      <c r="C33" s="618"/>
      <c r="D33" s="618"/>
      <c r="E33" s="618"/>
      <c r="F33" s="618"/>
      <c r="G33" s="618"/>
      <c r="H33" s="618"/>
      <c r="I33" s="605"/>
      <c r="J33" s="605"/>
      <c r="K33" s="605"/>
      <c r="L33" s="605"/>
      <c r="M33" s="605"/>
      <c r="N33" s="605"/>
      <c r="O33" s="85"/>
      <c r="P33" s="621"/>
      <c r="Q33" s="621"/>
      <c r="R33" s="626"/>
      <c r="S33" s="627"/>
      <c r="T33" s="626"/>
      <c r="U33" s="626"/>
      <c r="V33" s="605"/>
      <c r="W33" s="605"/>
      <c r="X33" s="605"/>
      <c r="Y33" s="605"/>
      <c r="Z33" s="605"/>
    </row>
    <row r="34" spans="3:26" ht="20.5">
      <c r="C34" s="618"/>
      <c r="D34" s="618"/>
      <c r="E34" s="618"/>
      <c r="F34" s="618"/>
      <c r="G34" s="618"/>
      <c r="H34" s="618"/>
      <c r="I34" s="605"/>
      <c r="J34" s="605"/>
      <c r="K34" s="605"/>
      <c r="L34" s="605"/>
      <c r="M34" s="605"/>
      <c r="N34" s="605"/>
      <c r="O34" s="85"/>
      <c r="P34" s="621"/>
      <c r="Q34" s="621"/>
      <c r="R34" s="626"/>
      <c r="S34" s="627"/>
      <c r="T34" s="626"/>
      <c r="U34" s="626"/>
      <c r="V34" s="605"/>
      <c r="W34" s="605"/>
      <c r="X34" s="605"/>
      <c r="Y34" s="605"/>
      <c r="Z34" s="605"/>
    </row>
    <row r="35" spans="3:26" ht="20.5">
      <c r="C35" s="618"/>
      <c r="I35" s="605"/>
      <c r="J35" s="605"/>
      <c r="K35" s="605"/>
      <c r="L35" s="605"/>
      <c r="M35" s="605"/>
      <c r="N35" s="605"/>
      <c r="O35" s="85"/>
      <c r="P35" s="621"/>
      <c r="Q35" s="621"/>
      <c r="R35" s="626"/>
      <c r="S35" s="627"/>
      <c r="T35" s="626"/>
      <c r="U35" s="626"/>
      <c r="V35" s="605"/>
      <c r="W35" s="605"/>
      <c r="X35" s="605"/>
      <c r="Y35" s="605"/>
      <c r="Z35" s="605"/>
    </row>
    <row r="36" spans="3:26" ht="20.5">
      <c r="C36" s="618"/>
      <c r="I36" s="605"/>
      <c r="J36" s="605"/>
      <c r="K36" s="605"/>
      <c r="L36" s="605"/>
      <c r="M36" s="605"/>
      <c r="N36" s="605"/>
      <c r="O36" s="85"/>
      <c r="P36" s="621"/>
      <c r="Q36" s="621"/>
      <c r="R36" s="626"/>
      <c r="S36" s="627"/>
      <c r="T36" s="626"/>
      <c r="U36" s="626"/>
      <c r="V36" s="605"/>
      <c r="W36" s="605"/>
      <c r="X36" s="605"/>
      <c r="Y36" s="605"/>
      <c r="Z36" s="605"/>
    </row>
    <row r="37" spans="3:26" ht="20.5">
      <c r="C37" s="618"/>
      <c r="I37" s="605"/>
      <c r="J37" s="605"/>
      <c r="K37" s="605"/>
      <c r="L37" s="605"/>
      <c r="M37" s="605"/>
      <c r="N37" s="605"/>
      <c r="O37" s="85"/>
      <c r="P37" s="621"/>
      <c r="Q37" s="621"/>
      <c r="R37" s="626"/>
      <c r="S37" s="627"/>
      <c r="T37" s="626"/>
      <c r="U37" s="626"/>
      <c r="V37" s="605"/>
      <c r="W37" s="605"/>
      <c r="X37" s="605"/>
      <c r="Y37" s="605"/>
      <c r="Z37" s="605"/>
    </row>
    <row r="38" spans="3:26" ht="20.5">
      <c r="C38" s="618"/>
      <c r="I38" s="605"/>
      <c r="J38" s="605"/>
      <c r="K38" s="605"/>
      <c r="L38" s="605"/>
      <c r="M38" s="605"/>
      <c r="N38" s="605"/>
      <c r="O38" s="85"/>
      <c r="P38" s="621"/>
      <c r="Q38" s="621"/>
      <c r="R38" s="626"/>
      <c r="S38" s="627"/>
      <c r="T38" s="626"/>
      <c r="U38" s="626"/>
      <c r="V38" s="605"/>
      <c r="W38" s="605"/>
      <c r="X38" s="605"/>
      <c r="Y38" s="605"/>
      <c r="Z38" s="605"/>
    </row>
    <row r="39" spans="3:26" ht="20.5">
      <c r="C39" s="618"/>
      <c r="I39" s="605"/>
      <c r="J39" s="605"/>
      <c r="K39" s="605"/>
      <c r="L39" s="605"/>
      <c r="M39" s="605"/>
      <c r="N39" s="605"/>
      <c r="O39" s="85"/>
      <c r="P39" s="621"/>
      <c r="Q39" s="621"/>
      <c r="R39" s="626"/>
      <c r="S39" s="627"/>
      <c r="T39" s="626"/>
      <c r="U39" s="626"/>
      <c r="V39" s="605"/>
      <c r="W39" s="605"/>
      <c r="X39" s="605"/>
      <c r="Y39" s="605"/>
      <c r="Z39" s="605"/>
    </row>
    <row r="40" spans="3:26" ht="20.5">
      <c r="C40" s="618"/>
      <c r="I40" s="605"/>
      <c r="J40" s="605"/>
      <c r="K40" s="605"/>
      <c r="L40" s="605"/>
      <c r="M40" s="605"/>
      <c r="N40" s="605"/>
      <c r="O40" s="85"/>
      <c r="P40" s="621"/>
      <c r="Q40" s="621"/>
      <c r="R40" s="626"/>
      <c r="S40" s="627"/>
      <c r="T40" s="626"/>
      <c r="U40" s="626"/>
      <c r="V40" s="605"/>
      <c r="W40" s="605"/>
      <c r="X40" s="605"/>
      <c r="Y40" s="605"/>
      <c r="Z40" s="605"/>
    </row>
    <row r="41" spans="3:26" ht="20.5">
      <c r="C41" s="618"/>
      <c r="D41" s="618"/>
      <c r="E41" s="618"/>
      <c r="F41" s="618"/>
      <c r="G41" s="618"/>
      <c r="H41" s="618"/>
      <c r="I41" s="605"/>
      <c r="J41" s="605"/>
      <c r="K41" s="605"/>
      <c r="L41" s="605"/>
      <c r="M41" s="605"/>
      <c r="N41" s="605"/>
      <c r="O41" s="85"/>
      <c r="P41" s="621"/>
      <c r="Q41" s="621"/>
      <c r="R41" s="626"/>
      <c r="S41" s="627"/>
      <c r="T41" s="626"/>
      <c r="U41" s="626"/>
      <c r="V41" s="605"/>
      <c r="W41" s="605"/>
      <c r="X41" s="605"/>
      <c r="Y41" s="605"/>
      <c r="Z41" s="605"/>
    </row>
    <row r="42" spans="3:26" ht="20.5">
      <c r="H42" s="618"/>
      <c r="I42" s="605"/>
      <c r="J42" s="605"/>
      <c r="K42" s="605"/>
      <c r="L42" s="605"/>
      <c r="M42" s="605"/>
      <c r="N42" s="605"/>
      <c r="O42" s="85"/>
      <c r="P42" s="621"/>
      <c r="Q42" s="621"/>
      <c r="R42" s="626"/>
      <c r="S42" s="627"/>
      <c r="T42" s="626"/>
      <c r="U42" s="626"/>
      <c r="V42" s="605"/>
      <c r="W42" s="605"/>
      <c r="X42" s="605"/>
      <c r="Y42" s="605"/>
      <c r="Z42" s="605"/>
    </row>
    <row r="43" spans="3:26" ht="22">
      <c r="C43" s="231" t="s">
        <v>372</v>
      </c>
      <c r="D43" s="214"/>
      <c r="E43" s="214"/>
      <c r="F43" s="214"/>
      <c r="G43" s="214"/>
      <c r="H43" s="618"/>
      <c r="I43" s="605"/>
      <c r="J43" s="605"/>
      <c r="K43" s="605"/>
      <c r="L43" s="605"/>
      <c r="M43" s="605"/>
      <c r="N43" s="605"/>
      <c r="O43" s="85"/>
      <c r="P43" s="621"/>
      <c r="Q43" s="621"/>
      <c r="R43" s="626"/>
      <c r="S43" s="627"/>
      <c r="T43" s="626"/>
      <c r="U43" s="626"/>
      <c r="V43" s="605"/>
      <c r="W43" s="605"/>
      <c r="X43" s="605"/>
      <c r="Y43" s="605"/>
      <c r="Z43" s="605"/>
    </row>
    <row r="44" spans="3:26" ht="20.5">
      <c r="H44" s="618"/>
      <c r="I44" s="605"/>
      <c r="J44" s="605"/>
      <c r="K44" s="605"/>
      <c r="L44" s="605"/>
      <c r="M44" s="605"/>
      <c r="N44" s="605"/>
      <c r="O44" s="85"/>
      <c r="P44" s="621"/>
      <c r="Q44" s="621"/>
      <c r="R44" s="626"/>
      <c r="S44" s="627"/>
      <c r="T44" s="626"/>
      <c r="U44" s="626"/>
      <c r="V44" s="605"/>
      <c r="W44" s="605"/>
      <c r="X44" s="605"/>
      <c r="Y44" s="605"/>
      <c r="Z44" s="605"/>
    </row>
    <row r="45" spans="3:26" ht="20.5">
      <c r="C45" s="633"/>
      <c r="D45" s="634" t="s">
        <v>360</v>
      </c>
      <c r="E45" s="634" t="s">
        <v>361</v>
      </c>
      <c r="F45" s="634" t="s">
        <v>362</v>
      </c>
      <c r="G45" s="635" t="s">
        <v>368</v>
      </c>
      <c r="H45" s="618"/>
      <c r="I45" s="605"/>
      <c r="J45" s="605"/>
      <c r="K45" s="605"/>
      <c r="L45" s="605"/>
      <c r="M45" s="605"/>
      <c r="N45" s="605"/>
      <c r="O45" s="85"/>
      <c r="P45" s="621"/>
      <c r="Q45" s="621"/>
      <c r="R45" s="626"/>
      <c r="S45" s="627"/>
      <c r="T45" s="626"/>
      <c r="U45" s="626"/>
      <c r="V45" s="605"/>
      <c r="W45" s="605"/>
      <c r="X45" s="605"/>
      <c r="Y45" s="605"/>
      <c r="Z45" s="605"/>
    </row>
    <row r="46" spans="3:26" ht="20.5">
      <c r="C46" s="631" t="s">
        <v>369</v>
      </c>
      <c r="D46" s="629">
        <f>'DCF Sensitivity Analysis'!H14</f>
        <v>49.917682758093584</v>
      </c>
      <c r="E46" s="629">
        <f>F46-D46</f>
        <v>238.00976147397785</v>
      </c>
      <c r="F46" s="629">
        <f>'DCF Sensitivity Analysis'!H12</f>
        <v>287.92744423207142</v>
      </c>
      <c r="G46" s="630">
        <f>D46+E46/2</f>
        <v>168.9225634950825</v>
      </c>
      <c r="H46" s="618"/>
      <c r="I46" s="605"/>
      <c r="J46" s="605"/>
      <c r="K46" s="605"/>
      <c r="L46" s="605"/>
      <c r="M46" s="605"/>
      <c r="N46" s="605"/>
      <c r="O46" s="85"/>
      <c r="P46" s="621"/>
      <c r="Q46" s="621"/>
      <c r="R46" s="626"/>
      <c r="S46" s="627"/>
      <c r="T46" s="626"/>
      <c r="U46" s="626"/>
      <c r="V46" s="605"/>
      <c r="W46" s="605"/>
      <c r="X46" s="605"/>
      <c r="Y46" s="605"/>
      <c r="Z46" s="605"/>
    </row>
    <row r="47" spans="3:26" ht="20.5">
      <c r="C47" s="631" t="s">
        <v>307</v>
      </c>
      <c r="D47" s="629">
        <f>Comps!J29</f>
        <v>9.928621343715653</v>
      </c>
      <c r="E47" s="629">
        <f>F47-D47</f>
        <v>220.43366821857387</v>
      </c>
      <c r="F47" s="629">
        <f>Comps!J28</f>
        <v>230.36228956228953</v>
      </c>
      <c r="G47" s="630">
        <f>D47+E47/2</f>
        <v>120.14545545300258</v>
      </c>
      <c r="I47" s="605"/>
      <c r="J47" s="605"/>
      <c r="K47" s="605"/>
      <c r="L47" s="605"/>
      <c r="M47" s="605"/>
      <c r="N47" s="605"/>
      <c r="O47" s="85"/>
      <c r="P47" s="621"/>
      <c r="Q47" s="621"/>
      <c r="R47" s="626"/>
      <c r="S47" s="627"/>
      <c r="T47" s="626"/>
      <c r="U47" s="626"/>
      <c r="V47" s="605"/>
      <c r="W47" s="605"/>
      <c r="X47" s="605"/>
      <c r="Y47" s="605"/>
      <c r="Z47" s="605"/>
    </row>
    <row r="48" spans="3:26" ht="20.5">
      <c r="C48" s="631" t="s">
        <v>330</v>
      </c>
      <c r="D48" s="629">
        <f>Transactions!M29</f>
        <v>-2.6847843514510208</v>
      </c>
      <c r="E48" s="629">
        <f>F48-D48</f>
        <v>294.58405559034486</v>
      </c>
      <c r="F48" s="629">
        <f>Transactions!M28</f>
        <v>291.89927123889385</v>
      </c>
      <c r="G48" s="630">
        <f>D48+E48/2</f>
        <v>144.60724344372142</v>
      </c>
      <c r="I48" s="605"/>
      <c r="J48" s="605"/>
      <c r="K48" s="605"/>
      <c r="L48" s="605"/>
      <c r="M48" s="605"/>
      <c r="N48" s="605"/>
      <c r="O48" s="85"/>
      <c r="P48" s="621"/>
      <c r="Q48" s="621"/>
      <c r="R48" s="626"/>
      <c r="S48" s="627"/>
      <c r="T48" s="626"/>
      <c r="U48" s="626"/>
      <c r="V48" s="605"/>
      <c r="W48" s="605"/>
      <c r="X48" s="605"/>
      <c r="Y48" s="605"/>
      <c r="Z48" s="605"/>
    </row>
    <row r="49" spans="2:26" ht="20.5">
      <c r="C49" s="631" t="s">
        <v>363</v>
      </c>
      <c r="D49" s="629">
        <v>106.3</v>
      </c>
      <c r="E49" s="629">
        <f>F49-D49</f>
        <v>150.69999999999999</v>
      </c>
      <c r="F49" s="629">
        <v>257</v>
      </c>
      <c r="G49" s="630">
        <f>D49+E49/2</f>
        <v>181.64999999999998</v>
      </c>
      <c r="I49" s="605"/>
      <c r="J49" s="605"/>
      <c r="K49" s="605"/>
      <c r="L49" s="605"/>
      <c r="M49" s="605"/>
      <c r="N49" s="605"/>
      <c r="O49" s="85"/>
      <c r="P49" s="621"/>
      <c r="Q49" s="621"/>
      <c r="R49" s="626"/>
      <c r="S49" s="627"/>
      <c r="T49" s="626"/>
      <c r="U49" s="626"/>
      <c r="V49" s="605"/>
      <c r="W49" s="605"/>
      <c r="X49" s="605"/>
      <c r="Y49" s="605"/>
      <c r="Z49" s="605"/>
    </row>
    <row r="50" spans="2:26" ht="20.5">
      <c r="C50" s="632" t="s">
        <v>364</v>
      </c>
      <c r="D50" s="636">
        <v>88</v>
      </c>
      <c r="E50" s="637">
        <f>F50-D50</f>
        <v>187</v>
      </c>
      <c r="F50" s="637">
        <v>275</v>
      </c>
      <c r="G50" s="638">
        <f>D50+E50/2</f>
        <v>181.5</v>
      </c>
      <c r="I50" s="605"/>
      <c r="J50" s="605"/>
      <c r="K50" s="605"/>
      <c r="L50" s="605"/>
      <c r="M50" s="605"/>
      <c r="N50" s="605"/>
      <c r="O50" s="85"/>
      <c r="P50" s="621"/>
      <c r="Q50" s="621"/>
      <c r="R50" s="626"/>
      <c r="S50" s="627"/>
      <c r="T50" s="626"/>
      <c r="U50" s="626"/>
      <c r="V50" s="605"/>
      <c r="W50" s="605"/>
      <c r="X50" s="605"/>
      <c r="Y50" s="605"/>
      <c r="Z50" s="605"/>
    </row>
    <row r="51" spans="2:26" ht="20.5">
      <c r="C51" s="618"/>
      <c r="I51" s="605"/>
      <c r="J51" s="605"/>
      <c r="K51" s="605"/>
      <c r="L51" s="605"/>
      <c r="M51" s="605"/>
      <c r="N51" s="605"/>
      <c r="O51" s="85"/>
      <c r="P51" s="621"/>
      <c r="Q51" s="621"/>
      <c r="R51" s="626"/>
      <c r="S51" s="627"/>
      <c r="T51" s="626"/>
      <c r="U51" s="626"/>
      <c r="V51" s="605"/>
      <c r="W51" s="605"/>
      <c r="X51" s="605"/>
      <c r="Y51" s="605"/>
      <c r="Z51" s="605"/>
    </row>
    <row r="52" spans="2:26" ht="20.5">
      <c r="C52" s="618"/>
      <c r="I52" s="605"/>
      <c r="J52" s="605"/>
      <c r="K52" s="605"/>
      <c r="L52" s="605"/>
      <c r="M52" s="605"/>
      <c r="N52" s="605"/>
      <c r="O52" s="85"/>
      <c r="P52" s="621"/>
      <c r="Q52" s="621"/>
      <c r="R52" s="626"/>
      <c r="S52" s="627"/>
      <c r="T52" s="626"/>
      <c r="U52" s="626"/>
      <c r="V52" s="605"/>
      <c r="W52" s="605"/>
      <c r="X52" s="605"/>
      <c r="Y52" s="605"/>
      <c r="Z52" s="605"/>
    </row>
    <row r="53" spans="2:26" ht="20.5">
      <c r="C53" s="618"/>
      <c r="D53" s="618"/>
      <c r="E53" s="618"/>
      <c r="F53" s="618"/>
      <c r="G53" s="618"/>
      <c r="H53" s="618"/>
      <c r="I53" s="605"/>
      <c r="J53" s="605"/>
      <c r="K53" s="605"/>
      <c r="L53" s="605"/>
      <c r="M53" s="605"/>
      <c r="N53" s="605"/>
      <c r="O53" s="85"/>
      <c r="P53" s="621"/>
      <c r="Q53" s="621"/>
      <c r="R53" s="626"/>
      <c r="S53" s="627"/>
      <c r="T53" s="626"/>
      <c r="U53" s="626"/>
      <c r="V53" s="605"/>
      <c r="W53" s="605"/>
      <c r="X53" s="605"/>
      <c r="Y53" s="605"/>
      <c r="Z53" s="605"/>
    </row>
    <row r="54" spans="2:26" ht="20.5">
      <c r="B54" s="618"/>
      <c r="C54" s="618"/>
      <c r="D54" s="618"/>
      <c r="E54" s="618"/>
      <c r="F54" s="618"/>
      <c r="G54" s="618"/>
      <c r="H54" s="618"/>
      <c r="I54" s="605"/>
      <c r="J54" s="605"/>
      <c r="K54" s="605"/>
      <c r="L54" s="605"/>
      <c r="M54" s="605"/>
      <c r="N54" s="605"/>
      <c r="O54" s="85"/>
      <c r="P54" s="621"/>
      <c r="Q54" s="621"/>
      <c r="R54" s="626"/>
      <c r="S54" s="627"/>
      <c r="T54" s="626"/>
      <c r="U54" s="626"/>
      <c r="V54" s="605"/>
      <c r="W54" s="605"/>
      <c r="X54" s="605"/>
      <c r="Y54" s="605"/>
      <c r="Z54" s="605"/>
    </row>
    <row r="55" spans="2:26" ht="20.5">
      <c r="B55" s="618"/>
      <c r="C55" s="618"/>
      <c r="D55" s="618"/>
      <c r="E55" s="618"/>
      <c r="F55" s="618"/>
      <c r="G55" s="618"/>
      <c r="H55" s="618"/>
      <c r="I55" s="605"/>
      <c r="J55" s="605"/>
      <c r="K55" s="605"/>
      <c r="L55" s="605"/>
      <c r="M55" s="605"/>
      <c r="N55" s="605"/>
      <c r="O55" s="85"/>
      <c r="P55" s="621"/>
      <c r="Q55" s="621"/>
      <c r="R55" s="626"/>
      <c r="S55" s="627"/>
      <c r="T55" s="626"/>
      <c r="U55" s="626"/>
      <c r="V55" s="605"/>
      <c r="W55" s="605"/>
      <c r="X55" s="605"/>
      <c r="Y55" s="605"/>
      <c r="Z55" s="605"/>
    </row>
    <row r="56" spans="2:26" ht="20.5">
      <c r="B56" s="618"/>
      <c r="C56" s="618"/>
      <c r="D56" s="618"/>
      <c r="E56" s="618"/>
      <c r="F56" s="618"/>
      <c r="G56" s="618"/>
      <c r="H56" s="618"/>
      <c r="I56" s="605"/>
      <c r="J56" s="605"/>
      <c r="K56" s="605"/>
      <c r="L56" s="605"/>
      <c r="M56" s="605"/>
      <c r="N56" s="605"/>
      <c r="O56" s="85"/>
      <c r="P56" s="621"/>
      <c r="Q56" s="621"/>
      <c r="R56" s="626"/>
      <c r="S56" s="627"/>
      <c r="T56" s="626"/>
      <c r="U56" s="626"/>
      <c r="V56" s="605"/>
      <c r="W56" s="605"/>
      <c r="X56" s="605"/>
      <c r="Y56" s="605"/>
      <c r="Z56" s="605"/>
    </row>
    <row r="57" spans="2:26" ht="20.5">
      <c r="B57" s="618"/>
      <c r="C57" s="618"/>
      <c r="D57" s="618"/>
      <c r="E57" s="618"/>
      <c r="F57" s="618"/>
      <c r="G57" s="618"/>
      <c r="H57" s="618"/>
      <c r="I57" s="605"/>
      <c r="J57" s="605"/>
      <c r="K57" s="605"/>
      <c r="L57" s="605"/>
      <c r="M57" s="605"/>
      <c r="N57" s="605"/>
      <c r="O57" s="85"/>
      <c r="P57" s="621"/>
      <c r="Q57" s="621"/>
      <c r="R57" s="626"/>
      <c r="S57" s="627"/>
      <c r="T57" s="626"/>
      <c r="U57" s="626"/>
      <c r="V57" s="605"/>
      <c r="W57" s="605"/>
      <c r="X57" s="605"/>
      <c r="Y57" s="605"/>
      <c r="Z57" s="605"/>
    </row>
    <row r="58" spans="2:26" ht="20.5">
      <c r="B58" s="618"/>
      <c r="C58" s="618"/>
      <c r="D58" s="618"/>
      <c r="E58" s="618"/>
      <c r="F58" s="618"/>
      <c r="G58" s="618"/>
      <c r="H58" s="618"/>
      <c r="I58" s="605"/>
      <c r="J58" s="605"/>
      <c r="K58" s="605"/>
      <c r="L58" s="605"/>
      <c r="M58" s="605"/>
      <c r="N58" s="605"/>
      <c r="O58" s="85"/>
      <c r="P58" s="621"/>
      <c r="Q58" s="621"/>
      <c r="R58" s="626"/>
      <c r="S58" s="627"/>
      <c r="T58" s="626"/>
      <c r="U58" s="626"/>
      <c r="V58" s="605"/>
      <c r="W58" s="605"/>
      <c r="X58" s="605"/>
      <c r="Y58" s="605"/>
      <c r="Z58" s="605"/>
    </row>
    <row r="59" spans="2:26" ht="20.5">
      <c r="B59" s="618"/>
      <c r="C59" s="618"/>
      <c r="D59" s="618"/>
      <c r="E59" s="618"/>
      <c r="F59" s="618"/>
      <c r="G59" s="618"/>
      <c r="H59" s="618"/>
      <c r="I59" s="605"/>
      <c r="J59" s="605"/>
      <c r="K59" s="605"/>
      <c r="L59" s="605"/>
      <c r="M59" s="605"/>
      <c r="N59" s="605"/>
      <c r="O59" s="85"/>
      <c r="P59" s="621"/>
      <c r="Q59" s="621"/>
      <c r="R59" s="626"/>
      <c r="S59" s="627"/>
      <c r="T59" s="626"/>
      <c r="U59" s="626"/>
      <c r="V59" s="605"/>
      <c r="W59" s="605"/>
      <c r="X59" s="605"/>
      <c r="Y59" s="605"/>
      <c r="Z59" s="605"/>
    </row>
    <row r="60" spans="2:26" ht="20.5">
      <c r="B60" s="618"/>
      <c r="C60" s="618"/>
      <c r="D60" s="618"/>
      <c r="E60" s="618"/>
      <c r="F60" s="618"/>
      <c r="G60" s="618"/>
      <c r="H60" s="618"/>
      <c r="I60" s="605"/>
      <c r="J60" s="605"/>
      <c r="K60" s="605"/>
      <c r="L60" s="605"/>
      <c r="M60" s="605"/>
      <c r="N60" s="605"/>
      <c r="O60" s="85"/>
      <c r="P60" s="621"/>
      <c r="Q60" s="621"/>
      <c r="R60" s="626"/>
      <c r="S60" s="627"/>
      <c r="T60" s="626"/>
      <c r="U60" s="626"/>
      <c r="V60" s="605"/>
      <c r="W60" s="605"/>
      <c r="X60" s="605"/>
      <c r="Y60" s="605"/>
      <c r="Z60" s="605"/>
    </row>
    <row r="61" spans="2:26" ht="20.5">
      <c r="B61" s="618"/>
      <c r="C61" s="618"/>
      <c r="D61" s="618"/>
      <c r="E61" s="618"/>
      <c r="F61" s="618"/>
      <c r="G61" s="618"/>
      <c r="H61" s="618"/>
      <c r="I61" s="605"/>
      <c r="J61" s="605"/>
      <c r="K61" s="605"/>
      <c r="L61" s="605"/>
      <c r="M61" s="605"/>
      <c r="N61" s="605"/>
      <c r="O61" s="85"/>
      <c r="P61" s="621"/>
      <c r="Q61" s="621"/>
      <c r="R61" s="626"/>
      <c r="S61" s="627"/>
      <c r="T61" s="626"/>
      <c r="U61" s="626"/>
      <c r="V61" s="605"/>
      <c r="W61" s="605"/>
      <c r="X61" s="605"/>
      <c r="Y61" s="605"/>
      <c r="Z61" s="605"/>
    </row>
    <row r="62" spans="2:26" ht="20.5">
      <c r="B62" s="618"/>
      <c r="C62" s="618"/>
      <c r="D62" s="618"/>
      <c r="E62" s="618"/>
      <c r="F62" s="618"/>
      <c r="G62" s="618"/>
      <c r="H62" s="618"/>
      <c r="I62" s="605"/>
      <c r="J62" s="605"/>
      <c r="K62" s="605"/>
      <c r="L62" s="605"/>
      <c r="M62" s="605"/>
      <c r="N62" s="605"/>
      <c r="O62" s="85"/>
      <c r="P62" s="621"/>
      <c r="Q62" s="621"/>
      <c r="R62" s="626"/>
      <c r="S62" s="627"/>
      <c r="T62" s="626"/>
      <c r="U62" s="626"/>
      <c r="V62" s="605"/>
      <c r="W62" s="605"/>
      <c r="X62" s="605"/>
      <c r="Y62" s="605"/>
      <c r="Z62" s="605"/>
    </row>
    <row r="63" spans="2:26" ht="20.5">
      <c r="B63" s="618"/>
      <c r="C63" s="618"/>
      <c r="D63" s="618"/>
      <c r="E63" s="618"/>
      <c r="F63" s="618"/>
      <c r="G63" s="618"/>
      <c r="H63" s="618"/>
      <c r="I63" s="605"/>
      <c r="J63" s="605"/>
      <c r="K63" s="605"/>
      <c r="L63" s="605"/>
      <c r="M63" s="605"/>
      <c r="N63" s="605"/>
      <c r="O63" s="85"/>
      <c r="P63" s="621"/>
      <c r="Q63" s="621"/>
      <c r="R63" s="626"/>
      <c r="S63" s="627"/>
      <c r="T63" s="626"/>
      <c r="U63" s="626"/>
      <c r="V63" s="605"/>
      <c r="W63" s="605"/>
      <c r="X63" s="605"/>
      <c r="Y63" s="605"/>
      <c r="Z63" s="605"/>
    </row>
    <row r="64" spans="2:26" ht="20.5">
      <c r="B64" s="618"/>
      <c r="C64" s="618"/>
      <c r="D64" s="618"/>
      <c r="E64" s="618"/>
      <c r="F64" s="618"/>
      <c r="G64" s="618"/>
      <c r="H64" s="618"/>
      <c r="I64" s="605"/>
      <c r="J64" s="605"/>
      <c r="K64" s="605"/>
      <c r="L64" s="605"/>
      <c r="M64" s="605"/>
      <c r="N64" s="605"/>
      <c r="O64" s="85"/>
      <c r="P64" s="621"/>
      <c r="Q64" s="621"/>
      <c r="R64" s="626"/>
      <c r="S64" s="627"/>
      <c r="T64" s="626"/>
      <c r="U64" s="626"/>
      <c r="V64" s="605"/>
      <c r="W64" s="605"/>
      <c r="X64" s="605"/>
      <c r="Y64" s="605"/>
      <c r="Z64" s="605"/>
    </row>
    <row r="65" spans="2:26" ht="20.5">
      <c r="B65" s="618"/>
      <c r="C65" s="618"/>
      <c r="D65" s="618"/>
      <c r="E65" s="618"/>
      <c r="F65" s="618"/>
      <c r="G65" s="618"/>
      <c r="H65" s="618"/>
      <c r="I65" s="605"/>
      <c r="J65" s="605"/>
      <c r="K65" s="605"/>
      <c r="L65" s="605"/>
      <c r="M65" s="605"/>
      <c r="N65" s="605"/>
      <c r="O65" s="85"/>
      <c r="P65" s="621"/>
      <c r="Q65" s="621"/>
      <c r="R65" s="626"/>
      <c r="S65" s="627"/>
      <c r="T65" s="626"/>
      <c r="U65" s="626"/>
      <c r="V65" s="605"/>
      <c r="W65" s="605"/>
      <c r="X65" s="605"/>
      <c r="Y65" s="605"/>
      <c r="Z65" s="605"/>
    </row>
    <row r="66" spans="2:26" ht="20.5">
      <c r="B66" s="618"/>
      <c r="C66" s="618"/>
      <c r="D66" s="618"/>
      <c r="E66" s="618"/>
      <c r="F66" s="618"/>
      <c r="G66" s="618"/>
      <c r="H66" s="618"/>
      <c r="I66" s="605"/>
      <c r="J66" s="605"/>
      <c r="K66" s="605"/>
      <c r="L66" s="605"/>
      <c r="M66" s="605"/>
      <c r="N66" s="605"/>
      <c r="O66" s="85"/>
      <c r="P66" s="621"/>
      <c r="Q66" s="621"/>
      <c r="R66" s="626"/>
      <c r="S66" s="627"/>
      <c r="T66" s="626"/>
      <c r="U66" s="626"/>
      <c r="V66" s="605"/>
      <c r="W66" s="605"/>
      <c r="X66" s="605"/>
      <c r="Y66" s="605"/>
      <c r="Z66" s="605"/>
    </row>
    <row r="67" spans="2:26" ht="20.5">
      <c r="B67" s="618"/>
      <c r="C67" s="618"/>
      <c r="D67" s="618"/>
      <c r="E67" s="618"/>
      <c r="F67" s="618"/>
      <c r="G67" s="618"/>
      <c r="H67" s="618"/>
      <c r="I67" s="605"/>
      <c r="J67" s="605"/>
      <c r="K67" s="605"/>
      <c r="L67" s="605"/>
      <c r="M67" s="605"/>
      <c r="N67" s="605"/>
      <c r="O67" s="85"/>
      <c r="P67" s="621"/>
      <c r="Q67" s="621"/>
      <c r="R67" s="626"/>
      <c r="S67" s="627"/>
      <c r="T67" s="626"/>
      <c r="U67" s="626"/>
      <c r="V67" s="605"/>
      <c r="W67" s="605"/>
      <c r="X67" s="605"/>
      <c r="Y67" s="605"/>
      <c r="Z67" s="605"/>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6C5F-6EEB-47C3-8BC5-4C327F06FD94}">
  <sheetPr codeName="Sheet2"/>
  <dimension ref="A2:T76"/>
  <sheetViews>
    <sheetView showGridLines="0" topLeftCell="A39" zoomScale="121" workbookViewId="0">
      <selection activeCell="J49" sqref="J49"/>
    </sheetView>
  </sheetViews>
  <sheetFormatPr defaultRowHeight="14" outlineLevelRow="1"/>
  <cols>
    <col min="3" max="3" width="8.83203125" bestFit="1" customWidth="1"/>
    <col min="4" max="4" width="9.33203125" customWidth="1"/>
    <col min="5" max="7" width="8.83203125" bestFit="1" customWidth="1"/>
    <col min="8" max="8" width="9.4140625" bestFit="1" customWidth="1"/>
    <col min="11" max="11" width="8.83203125" bestFit="1" customWidth="1"/>
    <col min="12" max="13" width="9.9140625" bestFit="1" customWidth="1"/>
    <col min="14" max="14" width="10.5" bestFit="1" customWidth="1"/>
    <col min="15" max="16" width="9.9140625" bestFit="1" customWidth="1"/>
  </cols>
  <sheetData>
    <row r="2" spans="1:20" ht="16.5">
      <c r="A2" s="105"/>
      <c r="B2" s="105"/>
      <c r="C2" s="105"/>
      <c r="D2" s="105"/>
      <c r="E2" s="105"/>
      <c r="F2" s="105"/>
      <c r="G2" s="105"/>
      <c r="H2" s="105"/>
      <c r="I2" s="105"/>
      <c r="J2" s="105"/>
      <c r="K2" s="105"/>
      <c r="L2" s="105"/>
      <c r="M2" s="105"/>
      <c r="N2" s="105"/>
      <c r="O2" s="105"/>
      <c r="P2" s="105"/>
      <c r="Q2" s="105"/>
      <c r="R2" s="105"/>
      <c r="S2" s="105"/>
      <c r="T2" s="105"/>
    </row>
    <row r="3" spans="1:20" ht="22">
      <c r="A3" s="287" t="s">
        <v>284</v>
      </c>
      <c r="B3" s="231" t="s">
        <v>293</v>
      </c>
      <c r="C3" s="214"/>
      <c r="D3" s="214"/>
      <c r="E3" s="214"/>
      <c r="F3" s="214"/>
      <c r="G3" s="214"/>
      <c r="H3" s="214"/>
      <c r="I3" s="214"/>
      <c r="J3" s="214"/>
      <c r="K3" s="214"/>
      <c r="L3" s="214"/>
      <c r="M3" s="231"/>
      <c r="N3" s="214"/>
      <c r="O3" s="214"/>
      <c r="P3" s="214"/>
      <c r="Q3" s="214"/>
      <c r="R3" s="107"/>
      <c r="S3" s="105"/>
      <c r="T3" s="105"/>
    </row>
    <row r="4" spans="1:20" ht="16.5" outlineLevel="1">
      <c r="A4" s="287"/>
      <c r="B4" s="105"/>
      <c r="C4" s="105"/>
      <c r="D4" s="105"/>
      <c r="E4" s="105"/>
      <c r="F4" s="9"/>
      <c r="G4" s="288"/>
      <c r="H4" s="9"/>
      <c r="I4" s="9"/>
      <c r="J4" s="66"/>
      <c r="K4" s="66"/>
      <c r="L4" s="73"/>
      <c r="M4" s="73"/>
      <c r="N4" s="73"/>
      <c r="O4" s="73"/>
      <c r="P4" s="105"/>
      <c r="Q4" s="105"/>
      <c r="R4" s="105"/>
      <c r="S4" s="105"/>
      <c r="T4" s="105"/>
    </row>
    <row r="5" spans="1:20" ht="19" customHeight="1" outlineLevel="1">
      <c r="A5" s="105"/>
      <c r="B5" s="390"/>
      <c r="C5" s="390" t="s">
        <v>285</v>
      </c>
      <c r="D5" s="289">
        <v>2</v>
      </c>
      <c r="G5" s="105"/>
      <c r="H5" s="105"/>
      <c r="I5" s="105"/>
      <c r="J5" s="105"/>
      <c r="K5" s="105"/>
      <c r="L5" s="290" t="s">
        <v>278</v>
      </c>
      <c r="M5" s="291"/>
      <c r="N5" s="291"/>
      <c r="O5" s="291"/>
      <c r="P5" s="105"/>
      <c r="Q5" s="105"/>
      <c r="R5" s="105"/>
      <c r="S5" s="105"/>
      <c r="T5" s="105"/>
    </row>
    <row r="6" spans="1:20" ht="16.5" outlineLevel="1">
      <c r="A6" s="105"/>
      <c r="B6" s="105"/>
      <c r="C6" s="105"/>
      <c r="D6" s="105"/>
      <c r="E6" s="105"/>
      <c r="F6" s="105"/>
      <c r="G6" s="105"/>
      <c r="H6" s="105"/>
      <c r="I6" s="105"/>
      <c r="J6" s="105"/>
      <c r="K6" s="105"/>
      <c r="L6" s="105"/>
      <c r="M6" s="105"/>
      <c r="N6" s="105"/>
      <c r="O6" s="105"/>
      <c r="P6" s="105"/>
      <c r="Q6" s="105"/>
      <c r="R6" s="105"/>
      <c r="S6" s="105"/>
      <c r="T6" s="105"/>
    </row>
    <row r="7" spans="1:20" ht="16.5" outlineLevel="1">
      <c r="A7" s="105"/>
      <c r="B7" s="105"/>
      <c r="C7" s="105"/>
      <c r="D7" s="421" t="s">
        <v>297</v>
      </c>
      <c r="E7" s="422"/>
      <c r="F7" s="422"/>
      <c r="G7" s="422"/>
      <c r="H7" s="422"/>
      <c r="I7" s="105"/>
      <c r="J7" s="105"/>
      <c r="K7" s="105"/>
      <c r="L7" s="421" t="s">
        <v>298</v>
      </c>
      <c r="M7" s="422"/>
      <c r="N7" s="422"/>
      <c r="O7" s="422"/>
      <c r="P7" s="105"/>
      <c r="Q7" s="105"/>
      <c r="R7" s="105"/>
      <c r="S7" s="105"/>
      <c r="T7" s="105"/>
    </row>
    <row r="8" spans="1:20" ht="20.5" outlineLevel="1">
      <c r="A8" s="91"/>
      <c r="B8" s="91"/>
      <c r="C8" s="91"/>
      <c r="D8" s="91"/>
      <c r="E8" s="91"/>
      <c r="F8" s="91"/>
      <c r="G8" s="91"/>
      <c r="H8" s="91"/>
      <c r="I8" s="9"/>
      <c r="J8" s="12"/>
      <c r="K8" s="12"/>
      <c r="L8" s="293"/>
      <c r="M8" s="293"/>
      <c r="N8" s="293"/>
      <c r="O8" s="293"/>
      <c r="P8" s="91"/>
      <c r="Q8" s="91"/>
      <c r="R8" s="91"/>
      <c r="S8" s="91"/>
      <c r="T8" s="91"/>
    </row>
    <row r="9" spans="1:20" ht="20.5" outlineLevel="1">
      <c r="A9" s="12"/>
      <c r="B9" s="105"/>
      <c r="C9" s="105"/>
      <c r="D9" s="213"/>
      <c r="E9" s="91"/>
      <c r="F9" s="294" t="s">
        <v>286</v>
      </c>
      <c r="G9" s="294" t="s">
        <v>216</v>
      </c>
      <c r="H9" s="294" t="s">
        <v>216</v>
      </c>
      <c r="I9" s="10"/>
      <c r="J9" s="10"/>
      <c r="K9" s="10"/>
      <c r="L9" s="398" t="s">
        <v>273</v>
      </c>
      <c r="M9" s="399"/>
      <c r="N9" s="400"/>
      <c r="O9" s="401">
        <f>'DCF Model'!C232</f>
        <v>2.5000000000000001E-2</v>
      </c>
      <c r="P9" s="105"/>
      <c r="Q9" s="105"/>
      <c r="R9" s="105"/>
      <c r="S9" s="105"/>
      <c r="T9" s="105"/>
    </row>
    <row r="10" spans="1:20" ht="20.5" outlineLevel="1">
      <c r="A10" s="12"/>
      <c r="B10" s="105"/>
      <c r="C10" s="105"/>
      <c r="D10" s="91"/>
      <c r="E10" s="91"/>
      <c r="F10" s="294" t="s">
        <v>287</v>
      </c>
      <c r="G10" s="294" t="s">
        <v>287</v>
      </c>
      <c r="H10" s="294" t="s">
        <v>288</v>
      </c>
      <c r="I10" s="10"/>
      <c r="J10" s="10"/>
      <c r="K10" s="10"/>
      <c r="L10" s="402" t="s">
        <v>66</v>
      </c>
      <c r="M10" s="105"/>
      <c r="N10" s="195"/>
      <c r="O10" s="403">
        <f>'DCF Model'!C233</f>
        <v>8.3031312830457948E-2</v>
      </c>
      <c r="P10" s="105"/>
      <c r="Q10" s="105"/>
      <c r="R10" s="105"/>
      <c r="S10" s="105"/>
      <c r="T10" s="105"/>
    </row>
    <row r="11" spans="1:20" ht="20.5" outlineLevel="1">
      <c r="A11" s="12"/>
      <c r="B11" s="105"/>
      <c r="C11" s="105"/>
      <c r="D11" s="185"/>
      <c r="E11" s="296"/>
      <c r="F11" s="604">
        <f>'DCF Model'!K258</f>
        <v>6900.4788402103804</v>
      </c>
      <c r="G11" s="297"/>
      <c r="H11" s="297"/>
      <c r="I11" s="10"/>
      <c r="J11" s="10"/>
      <c r="K11" s="10"/>
      <c r="L11" s="402" t="s">
        <v>31</v>
      </c>
      <c r="M11" s="105"/>
      <c r="N11" s="404" t="s">
        <v>296</v>
      </c>
      <c r="O11" s="405">
        <f>'DCF Inputs'!M41</f>
        <v>3930</v>
      </c>
      <c r="P11" s="298"/>
      <c r="Q11" s="105"/>
      <c r="R11" s="105"/>
      <c r="S11" s="105"/>
      <c r="T11" s="105"/>
    </row>
    <row r="12" spans="1:20" ht="20.5" outlineLevel="1">
      <c r="A12" s="12"/>
      <c r="B12" s="106"/>
      <c r="C12" s="105"/>
      <c r="D12" s="299" t="s">
        <v>289</v>
      </c>
      <c r="E12" s="603">
        <v>1</v>
      </c>
      <c r="F12" s="395">
        <f t="dataTable" ref="F12:F14" dt2D="0" dtr="0" r1="D5"/>
        <v>9112.693996177286</v>
      </c>
      <c r="G12" s="396">
        <f>F12-$O$11</f>
        <v>5182.693996177286</v>
      </c>
      <c r="H12" s="397">
        <f>G12/$O$12</f>
        <v>287.92744423207142</v>
      </c>
      <c r="I12" s="300"/>
      <c r="J12" s="301"/>
      <c r="K12" s="301"/>
      <c r="L12" s="402" t="s">
        <v>206</v>
      </c>
      <c r="M12" s="73"/>
      <c r="N12" s="404" t="s">
        <v>306</v>
      </c>
      <c r="O12" s="405">
        <f>'DCF Inputs'!G50</f>
        <v>18</v>
      </c>
      <c r="P12" s="298"/>
      <c r="Q12" s="105"/>
      <c r="R12" s="105"/>
      <c r="S12" s="105"/>
      <c r="T12" s="105"/>
    </row>
    <row r="13" spans="1:20" ht="20.5" outlineLevel="1">
      <c r="A13" s="12"/>
      <c r="B13" s="106"/>
      <c r="C13" s="105"/>
      <c r="D13" s="299" t="s">
        <v>290</v>
      </c>
      <c r="E13" s="603">
        <f>E12+1</f>
        <v>2</v>
      </c>
      <c r="F13" s="395">
        <v>6900.4788402103804</v>
      </c>
      <c r="G13" s="396">
        <f>F13-$O$11</f>
        <v>2970.4788402103804</v>
      </c>
      <c r="H13" s="397">
        <f>G13/$O$12</f>
        <v>165.02660223391001</v>
      </c>
      <c r="I13" s="300"/>
      <c r="J13" s="301"/>
      <c r="K13" s="301"/>
      <c r="L13" s="406" t="s">
        <v>271</v>
      </c>
      <c r="M13" s="407"/>
      <c r="N13" s="408" t="s">
        <v>272</v>
      </c>
      <c r="O13" s="409">
        <f>'DCF Inputs'!G51</f>
        <v>136.41999999999999</v>
      </c>
      <c r="P13" s="298"/>
      <c r="Q13" s="302"/>
      <c r="R13" s="105"/>
      <c r="S13" s="105"/>
      <c r="T13" s="105"/>
    </row>
    <row r="14" spans="1:20" ht="16.5" outlineLevel="1">
      <c r="A14" s="91"/>
      <c r="B14" s="93"/>
      <c r="C14" s="91"/>
      <c r="D14" s="299" t="s">
        <v>291</v>
      </c>
      <c r="E14" s="603">
        <f>E13+1</f>
        <v>3</v>
      </c>
      <c r="F14" s="392">
        <v>4828.5182896456845</v>
      </c>
      <c r="G14" s="393">
        <f>F14-$O$11</f>
        <v>898.51828964568449</v>
      </c>
      <c r="H14" s="394">
        <f>G14/$O$12</f>
        <v>49.917682758093584</v>
      </c>
      <c r="I14" s="303"/>
      <c r="J14" s="303"/>
      <c r="K14" s="91"/>
      <c r="P14" s="298"/>
      <c r="Q14" s="91"/>
      <c r="R14" s="91"/>
      <c r="S14" s="91"/>
      <c r="T14" s="91"/>
    </row>
    <row r="15" spans="1:20" ht="16.5" outlineLevel="1">
      <c r="A15" s="105"/>
      <c r="B15" s="105"/>
      <c r="C15" s="105"/>
      <c r="D15" s="105"/>
      <c r="E15" s="105"/>
      <c r="F15" s="105"/>
      <c r="G15" s="105"/>
      <c r="H15" s="105"/>
      <c r="I15" s="105"/>
      <c r="J15" s="105"/>
      <c r="K15" s="105"/>
      <c r="L15" s="105"/>
      <c r="M15" s="105"/>
      <c r="N15" s="105"/>
      <c r="O15" s="105"/>
      <c r="P15" s="105"/>
      <c r="Q15" s="105"/>
      <c r="R15" s="105"/>
      <c r="S15" s="105"/>
      <c r="T15" s="105"/>
    </row>
    <row r="16" spans="1:20" ht="16.5" outlineLevel="1">
      <c r="A16" s="105"/>
      <c r="B16" s="105"/>
      <c r="C16" s="105"/>
      <c r="D16" s="423" t="s">
        <v>299</v>
      </c>
      <c r="E16" s="422"/>
      <c r="F16" s="422"/>
      <c r="G16" s="422"/>
      <c r="H16" s="422"/>
      <c r="I16" s="105"/>
      <c r="J16" s="105"/>
      <c r="K16" s="153"/>
      <c r="L16" s="423" t="s">
        <v>300</v>
      </c>
      <c r="M16" s="422"/>
      <c r="N16" s="422"/>
      <c r="O16" s="422"/>
      <c r="P16" s="422"/>
      <c r="Q16" s="105"/>
      <c r="R16" s="105"/>
      <c r="S16" s="105"/>
      <c r="T16" s="105"/>
    </row>
    <row r="17" spans="1:20" ht="16.5" outlineLevel="1">
      <c r="A17" s="105"/>
      <c r="B17" s="105"/>
      <c r="C17" s="105"/>
      <c r="D17" s="105"/>
      <c r="E17" s="105"/>
      <c r="F17" s="105"/>
      <c r="G17" s="105"/>
      <c r="H17" s="105"/>
      <c r="I17" s="105"/>
      <c r="J17" s="105"/>
      <c r="K17" s="153"/>
      <c r="L17" s="306"/>
      <c r="M17" s="306"/>
      <c r="N17" s="306"/>
      <c r="O17" s="306"/>
      <c r="P17" s="306"/>
      <c r="Q17" s="105"/>
      <c r="R17" s="105"/>
      <c r="S17" s="105"/>
      <c r="T17" s="105"/>
    </row>
    <row r="18" spans="1:20" ht="16.5" outlineLevel="1">
      <c r="A18" s="307"/>
      <c r="B18" s="307"/>
      <c r="C18" s="308"/>
      <c r="D18" s="309" t="s">
        <v>273</v>
      </c>
      <c r="E18" s="291"/>
      <c r="F18" s="291"/>
      <c r="G18" s="291"/>
      <c r="H18" s="291"/>
      <c r="I18" s="307"/>
      <c r="J18" s="105"/>
      <c r="K18" s="310"/>
      <c r="L18" s="311" t="s">
        <v>273</v>
      </c>
      <c r="M18" s="305"/>
      <c r="N18" s="305"/>
      <c r="O18" s="305"/>
      <c r="P18" s="305"/>
      <c r="Q18" s="105"/>
      <c r="R18" s="307"/>
      <c r="S18" s="307"/>
      <c r="T18" s="307"/>
    </row>
    <row r="19" spans="1:20" ht="16.5" outlineLevel="1">
      <c r="A19" s="105"/>
      <c r="B19" s="179"/>
      <c r="C19" s="472">
        <f>'DCF Model'!K259</f>
        <v>6898.2991232537497</v>
      </c>
      <c r="D19" s="410">
        <f>E19-0.0025</f>
        <v>2.0000000000000004E-2</v>
      </c>
      <c r="E19" s="410">
        <f>F19-0.0025</f>
        <v>2.2500000000000003E-2</v>
      </c>
      <c r="F19" s="410">
        <f>O9</f>
        <v>2.5000000000000001E-2</v>
      </c>
      <c r="G19" s="410">
        <f>F19+0.0025</f>
        <v>2.75E-2</v>
      </c>
      <c r="H19" s="410">
        <f>G19+0.0025</f>
        <v>0.03</v>
      </c>
      <c r="I19" s="153"/>
      <c r="J19" s="105"/>
      <c r="K19" s="313"/>
      <c r="L19" s="312">
        <f>D19</f>
        <v>2.0000000000000004E-2</v>
      </c>
      <c r="M19" s="312">
        <f>E19</f>
        <v>2.2500000000000003E-2</v>
      </c>
      <c r="N19" s="312">
        <f>F19</f>
        <v>2.5000000000000001E-2</v>
      </c>
      <c r="O19" s="312">
        <f>G19</f>
        <v>2.75E-2</v>
      </c>
      <c r="P19" s="312">
        <f>H19</f>
        <v>0.03</v>
      </c>
      <c r="Q19" s="105"/>
      <c r="R19" s="105"/>
      <c r="S19" s="105"/>
      <c r="T19" s="105"/>
    </row>
    <row r="20" spans="1:20" ht="16.5" outlineLevel="1">
      <c r="A20" s="105"/>
      <c r="B20" s="695" t="s">
        <v>66</v>
      </c>
      <c r="C20" s="312">
        <f>C21-0.005</f>
        <v>7.303131283045794E-2</v>
      </c>
      <c r="D20" s="411">
        <f>'DCF Model'!D315</f>
        <v>7754.8150136627564</v>
      </c>
      <c r="E20" s="412">
        <f>'DCF Model'!E315</f>
        <v>8097.8077714364481</v>
      </c>
      <c r="F20" s="412">
        <f>'DCF Model'!F315</f>
        <v>8476.5056492205367</v>
      </c>
      <c r="G20" s="412">
        <f>'DCF Model'!G315</f>
        <v>8896.7900588046468</v>
      </c>
      <c r="H20" s="413">
        <f>'DCF Model'!H315</f>
        <v>9365.9091868692285</v>
      </c>
      <c r="I20" s="153"/>
      <c r="J20" s="695" t="s">
        <v>66</v>
      </c>
      <c r="K20" s="312">
        <f>C20</f>
        <v>7.303131283045794E-2</v>
      </c>
      <c r="L20" s="317">
        <f t="shared" ref="L20:P24" si="0">D31/$O$12</f>
        <v>212.48972298126424</v>
      </c>
      <c r="M20" s="318">
        <f t="shared" si="0"/>
        <v>231.54487619091378</v>
      </c>
      <c r="N20" s="318">
        <f t="shared" si="0"/>
        <v>252.58364717891871</v>
      </c>
      <c r="O20" s="318">
        <f t="shared" si="0"/>
        <v>275.93278104470261</v>
      </c>
      <c r="P20" s="319">
        <f t="shared" si="0"/>
        <v>301.99495482606824</v>
      </c>
      <c r="Q20" s="105"/>
      <c r="R20" s="105"/>
      <c r="S20" s="105"/>
      <c r="T20" s="105"/>
    </row>
    <row r="21" spans="1:20" ht="16.5" outlineLevel="1">
      <c r="A21" s="105"/>
      <c r="B21" s="695"/>
      <c r="C21" s="312">
        <f>C22-0.005</f>
        <v>7.8031312830457944E-2</v>
      </c>
      <c r="D21" s="414">
        <f>'DCF Model'!D316</f>
        <v>7027.4824805003291</v>
      </c>
      <c r="E21" s="415">
        <f>'DCF Model'!E316</f>
        <v>7307.3087861030817</v>
      </c>
      <c r="F21" s="415">
        <f>'DCF Model'!F316</f>
        <v>7613.5182124195699</v>
      </c>
      <c r="G21" s="415">
        <f>'DCF Model'!G316</f>
        <v>7950.0266166533611</v>
      </c>
      <c r="H21" s="416">
        <f>'DCF Model'!H316</f>
        <v>8321.565127749067</v>
      </c>
      <c r="I21" s="153"/>
      <c r="J21" s="695"/>
      <c r="K21" s="312">
        <f>C21</f>
        <v>7.8031312830457944E-2</v>
      </c>
      <c r="L21" s="323">
        <f t="shared" si="0"/>
        <v>172.08236002779606</v>
      </c>
      <c r="M21" s="324">
        <f t="shared" si="0"/>
        <v>187.62826589461565</v>
      </c>
      <c r="N21" s="324">
        <f t="shared" si="0"/>
        <v>204.63990068997612</v>
      </c>
      <c r="O21" s="324">
        <f t="shared" si="0"/>
        <v>223.33481203629785</v>
      </c>
      <c r="P21" s="325">
        <f t="shared" si="0"/>
        <v>243.97584043050372</v>
      </c>
      <c r="Q21" s="105"/>
      <c r="R21" s="105"/>
      <c r="S21" s="105"/>
      <c r="T21" s="105"/>
    </row>
    <row r="22" spans="1:20" ht="16.5" outlineLevel="1">
      <c r="A22" s="105"/>
      <c r="B22" s="695"/>
      <c r="C22" s="312">
        <f>O10</f>
        <v>8.3031312830457948E-2</v>
      </c>
      <c r="D22" s="414">
        <f>'DCF Model'!D317</f>
        <v>6416.6971316988747</v>
      </c>
      <c r="E22" s="415">
        <f>'DCF Model'!E317</f>
        <v>6648.5976667733275</v>
      </c>
      <c r="F22" s="417">
        <f>'DCF Model'!F317</f>
        <v>6900.4788402103804</v>
      </c>
      <c r="G22" s="415">
        <f>'DCF Model'!G317</f>
        <v>7175.0392157586875</v>
      </c>
      <c r="H22" s="416">
        <f>'DCF Model'!H317</f>
        <v>7475.4862194983507</v>
      </c>
      <c r="I22" s="153"/>
      <c r="J22" s="695"/>
      <c r="K22" s="312">
        <f>C22</f>
        <v>8.3031312830457948E-2</v>
      </c>
      <c r="L22" s="323">
        <f t="shared" si="0"/>
        <v>138.14984064993749</v>
      </c>
      <c r="M22" s="324">
        <f t="shared" si="0"/>
        <v>151.0332037096293</v>
      </c>
      <c r="N22" s="327">
        <f t="shared" si="0"/>
        <v>165.02660223391001</v>
      </c>
      <c r="O22" s="324">
        <f t="shared" si="0"/>
        <v>180.27995643103819</v>
      </c>
      <c r="P22" s="325">
        <f t="shared" si="0"/>
        <v>196.97145663879726</v>
      </c>
      <c r="Q22" s="105"/>
      <c r="R22" s="105"/>
      <c r="S22" s="105"/>
      <c r="T22" s="105"/>
    </row>
    <row r="23" spans="1:20" ht="16.5" outlineLevel="1">
      <c r="A23" s="105"/>
      <c r="B23" s="695"/>
      <c r="C23" s="312">
        <f>C22+0.005</f>
        <v>8.8031312830457953E-2</v>
      </c>
      <c r="D23" s="414">
        <f>'DCF Model'!D318</f>
        <v>5896.7339219401938</v>
      </c>
      <c r="E23" s="415">
        <f>'DCF Model'!E318</f>
        <v>6091.4795877198476</v>
      </c>
      <c r="F23" s="415">
        <f>'DCF Model'!F318</f>
        <v>6301.6735804527625</v>
      </c>
      <c r="G23" s="415">
        <f>'DCF Model'!G318</f>
        <v>6529.2299913213665</v>
      </c>
      <c r="H23" s="416">
        <f>'DCF Model'!H318</f>
        <v>6776.3927491576351</v>
      </c>
      <c r="I23" s="153"/>
      <c r="J23" s="695"/>
      <c r="K23" s="312">
        <f>C23</f>
        <v>8.8031312830457953E-2</v>
      </c>
      <c r="L23" s="323">
        <f t="shared" si="0"/>
        <v>109.2629956633441</v>
      </c>
      <c r="M23" s="324">
        <f t="shared" si="0"/>
        <v>120.08219931776931</v>
      </c>
      <c r="N23" s="324">
        <f t="shared" si="0"/>
        <v>131.75964335848681</v>
      </c>
      <c r="O23" s="324">
        <f t="shared" si="0"/>
        <v>144.40166618452037</v>
      </c>
      <c r="P23" s="325">
        <f t="shared" si="0"/>
        <v>158.13293050875751</v>
      </c>
      <c r="Q23" s="105"/>
      <c r="R23" s="105"/>
      <c r="S23" s="105"/>
      <c r="T23" s="105"/>
    </row>
    <row r="24" spans="1:20" ht="16.5" outlineLevel="1">
      <c r="A24" s="105"/>
      <c r="B24" s="695"/>
      <c r="C24" s="312">
        <f>C23+0.005</f>
        <v>9.3031312830457957E-2</v>
      </c>
      <c r="D24" s="418">
        <f>'DCF Model'!D319</f>
        <v>5448.9135475401026</v>
      </c>
      <c r="E24" s="419">
        <f>'DCF Model'!E319</f>
        <v>5614.3226575961326</v>
      </c>
      <c r="F24" s="419">
        <f>'DCF Model'!F319</f>
        <v>5791.8886042009608</v>
      </c>
      <c r="G24" s="419">
        <f>'DCF Model'!G319</f>
        <v>5983.0027263981392</v>
      </c>
      <c r="H24" s="420">
        <f>'DCF Model'!H319</f>
        <v>6189.2771009853668</v>
      </c>
      <c r="I24" s="153"/>
      <c r="J24" s="695"/>
      <c r="K24" s="312">
        <f>C24</f>
        <v>9.3031312830457957E-2</v>
      </c>
      <c r="L24" s="331">
        <f t="shared" si="0"/>
        <v>84.384085974450144</v>
      </c>
      <c r="M24" s="332">
        <f t="shared" si="0"/>
        <v>93.573480977562923</v>
      </c>
      <c r="N24" s="332">
        <f t="shared" si="0"/>
        <v>103.43825578894227</v>
      </c>
      <c r="O24" s="332">
        <f t="shared" si="0"/>
        <v>114.05570702211884</v>
      </c>
      <c r="P24" s="333">
        <f t="shared" si="0"/>
        <v>125.51539449918704</v>
      </c>
      <c r="Q24" s="105"/>
      <c r="R24" s="105"/>
      <c r="S24" s="105"/>
      <c r="T24" s="105"/>
    </row>
    <row r="25" spans="1:20" ht="16.5" outlineLevel="1">
      <c r="A25" s="105"/>
      <c r="B25" s="105"/>
      <c r="C25" s="153"/>
      <c r="D25" s="153"/>
      <c r="E25" s="153"/>
      <c r="F25" s="153"/>
      <c r="G25" s="153"/>
      <c r="H25" s="334"/>
      <c r="I25" s="153"/>
      <c r="J25" s="105"/>
      <c r="K25" s="105"/>
      <c r="L25" s="105"/>
      <c r="M25" s="105"/>
      <c r="N25" s="105"/>
      <c r="O25" s="105"/>
      <c r="P25" s="334"/>
      <c r="Q25" s="105"/>
      <c r="R25" s="105"/>
      <c r="S25" s="105"/>
      <c r="T25" s="105"/>
    </row>
    <row r="26" spans="1:20" ht="16.5" outlineLevel="1">
      <c r="A26" s="105"/>
      <c r="B26" s="105"/>
      <c r="C26" s="153"/>
      <c r="D26" s="153"/>
      <c r="E26" s="153"/>
      <c r="F26" s="153"/>
      <c r="G26" s="153"/>
      <c r="H26" s="153"/>
      <c r="I26" s="153"/>
      <c r="L26" s="153"/>
      <c r="M26" s="153"/>
      <c r="N26" s="153"/>
      <c r="O26" s="153"/>
      <c r="P26" s="153"/>
      <c r="Q26" s="105"/>
      <c r="R26" s="105"/>
      <c r="S26" s="105"/>
      <c r="T26" s="105"/>
    </row>
    <row r="27" spans="1:20" ht="16.5" outlineLevel="1">
      <c r="A27" s="105"/>
      <c r="B27" s="105"/>
      <c r="C27" s="105"/>
      <c r="D27" s="423" t="s">
        <v>301</v>
      </c>
      <c r="E27" s="422"/>
      <c r="F27" s="422"/>
      <c r="G27" s="422"/>
      <c r="H27" s="422"/>
      <c r="I27" s="153"/>
      <c r="J27" s="153"/>
      <c r="K27" s="153"/>
      <c r="L27" s="423" t="s">
        <v>302</v>
      </c>
      <c r="M27" s="422"/>
      <c r="N27" s="422"/>
      <c r="O27" s="422"/>
      <c r="P27" s="422"/>
      <c r="Q27" s="105"/>
      <c r="R27" s="105"/>
      <c r="S27" s="105"/>
      <c r="T27" s="105"/>
    </row>
    <row r="28" spans="1:20" ht="16.5" outlineLevel="1">
      <c r="A28" s="105"/>
      <c r="B28" s="105"/>
      <c r="C28" s="105"/>
      <c r="D28" s="293"/>
      <c r="E28" s="293"/>
      <c r="F28" s="293"/>
      <c r="G28" s="293"/>
      <c r="H28" s="293"/>
      <c r="I28" s="153"/>
      <c r="J28" s="153"/>
      <c r="K28" s="153"/>
      <c r="L28" s="306"/>
      <c r="M28" s="306"/>
      <c r="N28" s="306"/>
      <c r="O28" s="306"/>
      <c r="P28" s="306"/>
      <c r="Q28" s="105"/>
      <c r="R28" s="105"/>
      <c r="S28" s="105"/>
      <c r="T28" s="105"/>
    </row>
    <row r="29" spans="1:20" ht="16.5" outlineLevel="1">
      <c r="A29" s="105"/>
      <c r="B29" s="307"/>
      <c r="C29" s="307"/>
      <c r="D29" s="309" t="s">
        <v>273</v>
      </c>
      <c r="E29" s="291"/>
      <c r="F29" s="291"/>
      <c r="G29" s="291"/>
      <c r="H29" s="291"/>
      <c r="I29" s="310"/>
      <c r="J29" s="310"/>
      <c r="K29" s="310"/>
      <c r="L29" s="311" t="s">
        <v>273</v>
      </c>
      <c r="M29" s="305"/>
      <c r="N29" s="305"/>
      <c r="O29" s="305"/>
      <c r="P29" s="305"/>
      <c r="Q29" s="105"/>
      <c r="R29" s="105"/>
      <c r="S29" s="105"/>
      <c r="T29" s="105"/>
    </row>
    <row r="30" spans="1:20" ht="16.5" outlineLevel="1">
      <c r="A30" s="105"/>
      <c r="B30" s="153"/>
      <c r="C30" s="335"/>
      <c r="D30" s="336">
        <f>D19</f>
        <v>2.0000000000000004E-2</v>
      </c>
      <c r="E30" s="336">
        <f>E19</f>
        <v>2.2500000000000003E-2</v>
      </c>
      <c r="F30" s="336">
        <f>F19</f>
        <v>2.5000000000000001E-2</v>
      </c>
      <c r="G30" s="336">
        <f>G19</f>
        <v>2.75E-2</v>
      </c>
      <c r="H30" s="336">
        <f>H19</f>
        <v>0.03</v>
      </c>
      <c r="I30" s="153"/>
      <c r="J30" s="153"/>
      <c r="K30" s="335"/>
      <c r="L30" s="312">
        <f>D30</f>
        <v>2.0000000000000004E-2</v>
      </c>
      <c r="M30" s="312">
        <f>E30</f>
        <v>2.2500000000000003E-2</v>
      </c>
      <c r="N30" s="312">
        <f>F30</f>
        <v>2.5000000000000001E-2</v>
      </c>
      <c r="O30" s="312">
        <f>G30</f>
        <v>2.75E-2</v>
      </c>
      <c r="P30" s="312">
        <f>H30</f>
        <v>0.03</v>
      </c>
      <c r="Q30" s="105"/>
      <c r="R30" s="105"/>
      <c r="S30" s="105"/>
      <c r="T30" s="105"/>
    </row>
    <row r="31" spans="1:20" ht="16.5" outlineLevel="1">
      <c r="A31" s="105"/>
      <c r="B31" s="694" t="s">
        <v>66</v>
      </c>
      <c r="C31" s="312">
        <f>C20</f>
        <v>7.303131283045794E-2</v>
      </c>
      <c r="D31" s="320">
        <f t="shared" ref="D31:H35" si="1">D20-$O$11</f>
        <v>3824.8150136627564</v>
      </c>
      <c r="E31" s="338">
        <f t="shared" si="1"/>
        <v>4167.8077714364481</v>
      </c>
      <c r="F31" s="338">
        <f t="shared" si="1"/>
        <v>4546.5056492205367</v>
      </c>
      <c r="G31" s="315">
        <f t="shared" si="1"/>
        <v>4966.7900588046468</v>
      </c>
      <c r="H31" s="316">
        <f t="shared" si="1"/>
        <v>5435.9091868692285</v>
      </c>
      <c r="I31" s="153"/>
      <c r="J31" s="694" t="s">
        <v>66</v>
      </c>
      <c r="K31" s="312">
        <f>C31</f>
        <v>7.303131283045794E-2</v>
      </c>
      <c r="L31" s="339">
        <f t="shared" ref="L31:P35" si="2">L20/$O$13-1</f>
        <v>0.55761415467867059</v>
      </c>
      <c r="M31" s="340">
        <f t="shared" si="2"/>
        <v>0.69729421045971129</v>
      </c>
      <c r="N31" s="340">
        <f t="shared" si="2"/>
        <v>0.85151478653363677</v>
      </c>
      <c r="O31" s="340">
        <f t="shared" si="2"/>
        <v>1.0226710236380487</v>
      </c>
      <c r="P31" s="341">
        <f t="shared" si="2"/>
        <v>1.21371466666228</v>
      </c>
      <c r="Q31" s="105"/>
      <c r="R31" s="105"/>
      <c r="S31" s="105"/>
      <c r="T31" s="105"/>
    </row>
    <row r="32" spans="1:20" ht="16.5" outlineLevel="1">
      <c r="A32" s="105"/>
      <c r="B32" s="694"/>
      <c r="C32" s="312">
        <f>C21</f>
        <v>7.8031312830457944E-2</v>
      </c>
      <c r="D32" s="320">
        <f t="shared" si="1"/>
        <v>3097.4824805003291</v>
      </c>
      <c r="E32" s="321">
        <f t="shared" si="1"/>
        <v>3377.3087861030817</v>
      </c>
      <c r="F32" s="321">
        <f t="shared" si="1"/>
        <v>3683.5182124195699</v>
      </c>
      <c r="G32" s="321">
        <f t="shared" si="1"/>
        <v>4020.0266166533611</v>
      </c>
      <c r="H32" s="322">
        <f t="shared" si="1"/>
        <v>4391.565127749067</v>
      </c>
      <c r="I32" s="153"/>
      <c r="J32" s="694"/>
      <c r="K32" s="312">
        <f>C32</f>
        <v>7.8031312830457944E-2</v>
      </c>
      <c r="L32" s="342">
        <f t="shared" si="2"/>
        <v>0.26141592162290039</v>
      </c>
      <c r="M32" s="343">
        <f t="shared" si="2"/>
        <v>0.37537212941369047</v>
      </c>
      <c r="N32" s="343">
        <f t="shared" si="2"/>
        <v>0.50007257506213265</v>
      </c>
      <c r="O32" s="343">
        <f t="shared" si="2"/>
        <v>0.63711194866073795</v>
      </c>
      <c r="P32" s="344">
        <f t="shared" si="2"/>
        <v>0.78841695081735619</v>
      </c>
      <c r="Q32" s="105"/>
      <c r="R32" s="105"/>
      <c r="S32" s="105"/>
      <c r="T32" s="105"/>
    </row>
    <row r="33" spans="1:20" ht="16.5" outlineLevel="1">
      <c r="A33" s="105"/>
      <c r="B33" s="694"/>
      <c r="C33" s="312">
        <f>C22</f>
        <v>8.3031312830457948E-2</v>
      </c>
      <c r="D33" s="320">
        <f t="shared" si="1"/>
        <v>2486.6971316988747</v>
      </c>
      <c r="E33" s="321">
        <f t="shared" si="1"/>
        <v>2718.5976667733275</v>
      </c>
      <c r="F33" s="326">
        <f t="shared" si="1"/>
        <v>2970.4788402103804</v>
      </c>
      <c r="G33" s="321">
        <f t="shared" si="1"/>
        <v>3245.0392157586875</v>
      </c>
      <c r="H33" s="322">
        <f t="shared" si="1"/>
        <v>3545.4862194983507</v>
      </c>
      <c r="I33" s="153"/>
      <c r="J33" s="694"/>
      <c r="K33" s="312">
        <f>C33</f>
        <v>8.3031312830457948E-2</v>
      </c>
      <c r="L33" s="342">
        <f t="shared" si="2"/>
        <v>1.2680256926678624E-2</v>
      </c>
      <c r="M33" s="343">
        <f t="shared" si="2"/>
        <v>0.10711921792720513</v>
      </c>
      <c r="N33" s="345">
        <f t="shared" si="2"/>
        <v>0.20969507575069657</v>
      </c>
      <c r="O33" s="343">
        <f t="shared" si="2"/>
        <v>0.32150679102065838</v>
      </c>
      <c r="P33" s="344">
        <f t="shared" si="2"/>
        <v>0.44386055298927785</v>
      </c>
      <c r="Q33" s="105"/>
      <c r="R33" s="105"/>
      <c r="S33" s="105"/>
      <c r="T33" s="105"/>
    </row>
    <row r="34" spans="1:20" ht="16.5" outlineLevel="1">
      <c r="A34" s="105"/>
      <c r="B34" s="694"/>
      <c r="C34" s="312">
        <f>C23</f>
        <v>8.8031312830457953E-2</v>
      </c>
      <c r="D34" s="320">
        <f t="shared" si="1"/>
        <v>1966.7339219401938</v>
      </c>
      <c r="E34" s="321">
        <f t="shared" si="1"/>
        <v>2161.4795877198476</v>
      </c>
      <c r="F34" s="321">
        <f t="shared" si="1"/>
        <v>2371.6735804527625</v>
      </c>
      <c r="G34" s="321">
        <f t="shared" si="1"/>
        <v>2599.2299913213665</v>
      </c>
      <c r="H34" s="322">
        <f t="shared" si="1"/>
        <v>2846.3927491576351</v>
      </c>
      <c r="I34" s="153"/>
      <c r="J34" s="694"/>
      <c r="K34" s="312">
        <f>C34</f>
        <v>8.8031312830457953E-2</v>
      </c>
      <c r="L34" s="342">
        <f t="shared" si="2"/>
        <v>-0.19906908324773409</v>
      </c>
      <c r="M34" s="343">
        <f t="shared" si="2"/>
        <v>-0.11976103710768715</v>
      </c>
      <c r="N34" s="343">
        <f t="shared" si="2"/>
        <v>-3.4161828481990786E-2</v>
      </c>
      <c r="O34" s="343">
        <f t="shared" si="2"/>
        <v>5.8508035365198552E-2</v>
      </c>
      <c r="P34" s="344">
        <f t="shared" si="2"/>
        <v>0.15916236995130872</v>
      </c>
      <c r="Q34" s="105"/>
      <c r="R34" s="105"/>
      <c r="S34" s="105"/>
      <c r="T34" s="105"/>
    </row>
    <row r="35" spans="1:20" ht="16.5" outlineLevel="1">
      <c r="A35" s="105"/>
      <c r="B35" s="694"/>
      <c r="C35" s="312">
        <f>C24</f>
        <v>9.3031312830457957E-2</v>
      </c>
      <c r="D35" s="328">
        <f t="shared" si="1"/>
        <v>1518.9135475401026</v>
      </c>
      <c r="E35" s="329">
        <f t="shared" si="1"/>
        <v>1684.3226575961326</v>
      </c>
      <c r="F35" s="329">
        <f t="shared" si="1"/>
        <v>1861.8886042009608</v>
      </c>
      <c r="G35" s="329">
        <f t="shared" si="1"/>
        <v>2053.0027263981392</v>
      </c>
      <c r="H35" s="330">
        <f t="shared" si="1"/>
        <v>2259.2771009853668</v>
      </c>
      <c r="I35" s="153"/>
      <c r="J35" s="694"/>
      <c r="K35" s="312">
        <f>C35</f>
        <v>9.3031312830457957E-2</v>
      </c>
      <c r="L35" s="346">
        <f t="shared" si="2"/>
        <v>-0.38143904138359364</v>
      </c>
      <c r="M35" s="347">
        <f t="shared" si="2"/>
        <v>-0.3140779872631364</v>
      </c>
      <c r="N35" s="347">
        <f t="shared" si="2"/>
        <v>-0.24176619418749246</v>
      </c>
      <c r="O35" s="347">
        <f t="shared" si="2"/>
        <v>-0.16393705452192608</v>
      </c>
      <c r="P35" s="348">
        <f t="shared" si="2"/>
        <v>-7.9934067591357238E-2</v>
      </c>
      <c r="Q35" s="105"/>
      <c r="R35" s="105"/>
      <c r="S35" s="105"/>
      <c r="T35" s="105"/>
    </row>
    <row r="36" spans="1:20" ht="16.5" outlineLevel="1">
      <c r="A36" s="105"/>
      <c r="B36" s="337"/>
      <c r="C36" s="312"/>
      <c r="D36" s="349"/>
      <c r="E36" s="349"/>
      <c r="F36" s="349"/>
      <c r="G36" s="349"/>
      <c r="H36" s="334"/>
      <c r="I36" s="185"/>
      <c r="J36" s="350"/>
      <c r="K36" s="351"/>
      <c r="L36" s="352"/>
      <c r="M36" s="352"/>
      <c r="N36" s="352"/>
      <c r="O36" s="352"/>
      <c r="P36" s="334"/>
      <c r="Q36" s="105"/>
      <c r="R36" s="105"/>
      <c r="S36" s="105"/>
      <c r="T36" s="105"/>
    </row>
    <row r="37" spans="1:20" ht="18" outlineLevel="1">
      <c r="A37" s="105"/>
      <c r="B37" s="337"/>
      <c r="C37" s="312"/>
      <c r="D37" s="353"/>
      <c r="E37" s="354"/>
      <c r="F37" s="354"/>
      <c r="G37" s="354"/>
      <c r="H37" s="354"/>
      <c r="I37" s="153"/>
      <c r="J37" s="337"/>
      <c r="K37" s="312"/>
      <c r="L37" s="355"/>
      <c r="M37" s="355"/>
      <c r="N37" s="355"/>
      <c r="O37" s="355"/>
      <c r="P37" s="356" t="s">
        <v>292</v>
      </c>
      <c r="Q37" s="105"/>
      <c r="R37" s="105"/>
      <c r="S37" s="105"/>
      <c r="T37" s="105"/>
    </row>
    <row r="38" spans="1:20" ht="16.5" outlineLevel="1">
      <c r="A38" s="105"/>
      <c r="B38" s="105"/>
      <c r="C38" s="105"/>
      <c r="D38" s="105"/>
      <c r="E38" s="105"/>
      <c r="F38" s="105"/>
      <c r="G38" s="105"/>
      <c r="H38" s="105"/>
      <c r="I38" s="105"/>
      <c r="J38" s="105"/>
      <c r="K38" s="105"/>
      <c r="L38" s="105"/>
      <c r="M38" s="105"/>
      <c r="N38" s="105"/>
      <c r="O38" s="105"/>
      <c r="P38" s="105"/>
      <c r="Q38" s="105"/>
      <c r="R38" s="105"/>
      <c r="S38" s="105"/>
      <c r="T38" s="105"/>
    </row>
    <row r="39" spans="1:20" ht="16.5">
      <c r="A39" s="105"/>
      <c r="B39" s="357"/>
      <c r="C39" s="357"/>
      <c r="D39" s="357"/>
      <c r="E39" s="357"/>
      <c r="F39" s="357"/>
      <c r="G39" s="357"/>
      <c r="H39" s="357"/>
      <c r="I39" s="357"/>
      <c r="J39" s="357"/>
      <c r="K39" s="357"/>
      <c r="L39" s="357"/>
      <c r="M39" s="357"/>
      <c r="N39" s="357"/>
      <c r="O39" s="357"/>
      <c r="P39" s="357"/>
      <c r="Q39" s="105"/>
      <c r="R39" s="105"/>
      <c r="S39" s="105"/>
      <c r="T39" s="105"/>
    </row>
    <row r="40" spans="1:20" ht="22">
      <c r="A40" s="105"/>
      <c r="B40" s="231" t="s">
        <v>295</v>
      </c>
      <c r="C40" s="214"/>
      <c r="D40" s="214"/>
      <c r="E40" s="214"/>
      <c r="F40" s="214"/>
      <c r="G40" s="214"/>
      <c r="H40" s="214"/>
      <c r="I40" s="214"/>
      <c r="J40" s="214"/>
      <c r="K40" s="214"/>
      <c r="L40" s="214"/>
      <c r="M40" s="231"/>
      <c r="N40" s="214"/>
      <c r="O40" s="214"/>
      <c r="P40" s="214"/>
      <c r="Q40" s="214"/>
      <c r="R40" s="105"/>
      <c r="S40" s="105"/>
      <c r="T40" s="105"/>
    </row>
    <row r="41" spans="1:20" ht="16.5" outlineLevel="1">
      <c r="B41" s="105"/>
      <c r="C41" s="105"/>
      <c r="D41" s="105"/>
      <c r="E41" s="105"/>
      <c r="F41" s="9"/>
      <c r="G41" s="288"/>
      <c r="H41" s="9"/>
      <c r="I41" s="9"/>
      <c r="J41" s="66"/>
      <c r="K41" s="66"/>
      <c r="L41" s="73"/>
      <c r="M41" s="73"/>
      <c r="N41" s="73"/>
      <c r="O41" s="73"/>
      <c r="P41" s="105"/>
      <c r="Q41" s="105"/>
    </row>
    <row r="42" spans="1:20" ht="13" customHeight="1" outlineLevel="1">
      <c r="B42" s="391"/>
      <c r="C42" s="390" t="s">
        <v>285</v>
      </c>
      <c r="D42" s="358">
        <f>D5</f>
        <v>2</v>
      </c>
      <c r="E42" s="105"/>
      <c r="F42" s="105"/>
      <c r="G42" s="105"/>
      <c r="J42" s="105"/>
      <c r="K42" s="105"/>
      <c r="L42" s="290" t="s">
        <v>278</v>
      </c>
      <c r="M42" s="291"/>
      <c r="N42" s="291"/>
      <c r="O42" s="291"/>
      <c r="P42" s="105"/>
      <c r="Q42" s="105"/>
    </row>
    <row r="43" spans="1:20" ht="16.5" outlineLevel="1">
      <c r="B43" s="105"/>
      <c r="C43" s="105"/>
      <c r="D43" s="105"/>
      <c r="E43" s="105"/>
      <c r="F43" s="105"/>
      <c r="G43" s="105"/>
      <c r="J43" s="105"/>
      <c r="K43" s="105"/>
      <c r="L43" s="105"/>
      <c r="M43" s="105"/>
      <c r="N43" s="105"/>
      <c r="O43" s="105"/>
      <c r="P43" s="105"/>
      <c r="Q43" s="105"/>
    </row>
    <row r="44" spans="1:20" ht="16.5" outlineLevel="1">
      <c r="B44" s="105"/>
      <c r="C44" s="105"/>
      <c r="D44" s="421" t="s">
        <v>304</v>
      </c>
      <c r="E44" s="422"/>
      <c r="F44" s="422"/>
      <c r="G44" s="422"/>
      <c r="H44" s="422"/>
      <c r="I44" s="105"/>
      <c r="J44" s="105"/>
      <c r="K44" s="105"/>
      <c r="L44" s="421" t="s">
        <v>303</v>
      </c>
      <c r="M44" s="422"/>
      <c r="N44" s="422"/>
      <c r="O44" s="422"/>
      <c r="P44" s="105"/>
      <c r="Q44" s="105"/>
    </row>
    <row r="45" spans="1:20" ht="20.5" outlineLevel="1">
      <c r="B45" s="91"/>
      <c r="C45" s="91"/>
      <c r="D45" s="292"/>
      <c r="E45" s="292"/>
      <c r="F45" s="292"/>
      <c r="G45" s="292"/>
      <c r="H45" s="292"/>
      <c r="I45" s="9"/>
      <c r="J45" s="12"/>
      <c r="K45" s="12"/>
      <c r="L45" s="293"/>
      <c r="M45" s="293"/>
      <c r="N45" s="293"/>
      <c r="O45" s="293"/>
      <c r="P45" s="91"/>
      <c r="Q45" s="91"/>
    </row>
    <row r="46" spans="1:20" ht="16.5" outlineLevel="1">
      <c r="B46" s="105"/>
      <c r="C46" s="105"/>
      <c r="D46" s="91"/>
      <c r="E46" s="91"/>
      <c r="F46" s="294" t="s">
        <v>286</v>
      </c>
      <c r="G46" s="294" t="s">
        <v>216</v>
      </c>
      <c r="H46" s="294" t="s">
        <v>216</v>
      </c>
      <c r="I46" s="10"/>
      <c r="J46" s="10"/>
      <c r="K46" s="10"/>
      <c r="L46" s="398" t="s">
        <v>294</v>
      </c>
      <c r="M46" s="399"/>
      <c r="N46" s="400"/>
      <c r="O46" s="424">
        <f>'DCF Inputs'!G53</f>
        <v>9</v>
      </c>
      <c r="P46" s="105"/>
      <c r="Q46" s="105"/>
    </row>
    <row r="47" spans="1:20" ht="16.5" outlineLevel="1">
      <c r="B47" s="105"/>
      <c r="C47" s="105"/>
      <c r="D47" s="91"/>
      <c r="E47" s="91"/>
      <c r="F47" s="294" t="s">
        <v>287</v>
      </c>
      <c r="G47" s="294" t="s">
        <v>287</v>
      </c>
      <c r="H47" s="294" t="s">
        <v>288</v>
      </c>
      <c r="I47" s="10"/>
      <c r="J47" s="10"/>
      <c r="K47" s="10"/>
      <c r="L47" s="402" t="s">
        <v>66</v>
      </c>
      <c r="M47" s="105"/>
      <c r="N47" s="195"/>
      <c r="O47" s="403">
        <f>O10</f>
        <v>8.3031312830457948E-2</v>
      </c>
      <c r="P47" s="105"/>
      <c r="Q47" s="105"/>
    </row>
    <row r="48" spans="1:20" ht="16.5" outlineLevel="1">
      <c r="B48" s="105"/>
      <c r="C48" s="105"/>
      <c r="D48" s="105"/>
      <c r="E48" s="296"/>
      <c r="F48" s="604">
        <f>'DCF Model'!K300</f>
        <v>6189.4223809386494</v>
      </c>
      <c r="G48" s="297"/>
      <c r="H48" s="297"/>
      <c r="I48" s="10"/>
      <c r="J48" s="10"/>
      <c r="K48" s="10"/>
      <c r="L48" s="402" t="s">
        <v>31</v>
      </c>
      <c r="M48" s="105"/>
      <c r="N48" s="404" t="str">
        <f>N11</f>
        <v>(End of 2025)</v>
      </c>
      <c r="O48" s="425">
        <f>O11</f>
        <v>3930</v>
      </c>
      <c r="P48" s="298"/>
      <c r="Q48" s="105"/>
    </row>
    <row r="49" spans="2:17" ht="20.5" outlineLevel="1">
      <c r="B49" s="106"/>
      <c r="C49" s="105"/>
      <c r="D49" s="299" t="s">
        <v>289</v>
      </c>
      <c r="E49" s="603">
        <v>1</v>
      </c>
      <c r="F49" s="395">
        <f t="dataTable" ref="F49:F51" dt2D="0" dtr="0" r1="D5" ca="1"/>
        <v>7724.9797052290396</v>
      </c>
      <c r="G49" s="396">
        <f>F49-$O$48</f>
        <v>3794.9797052290396</v>
      </c>
      <c r="H49" s="397">
        <f>G49/$O$49</f>
        <v>210.83220584605775</v>
      </c>
      <c r="I49" s="300"/>
      <c r="J49" s="301"/>
      <c r="K49" s="301"/>
      <c r="L49" s="402" t="s">
        <v>206</v>
      </c>
      <c r="M49" s="73"/>
      <c r="N49" s="404" t="s">
        <v>306</v>
      </c>
      <c r="O49" s="425">
        <f>O12</f>
        <v>18</v>
      </c>
      <c r="P49" s="298"/>
      <c r="Q49" s="105"/>
    </row>
    <row r="50" spans="2:17" ht="20.5" outlineLevel="1">
      <c r="B50" s="106"/>
      <c r="C50" s="105"/>
      <c r="D50" s="299" t="s">
        <v>290</v>
      </c>
      <c r="E50" s="603">
        <v>2</v>
      </c>
      <c r="F50" s="395">
        <v>6189.4223809386494</v>
      </c>
      <c r="G50" s="396">
        <f>F50-$O$48</f>
        <v>2259.4223809386494</v>
      </c>
      <c r="H50" s="397">
        <f>G50/$O$49</f>
        <v>125.52346560770275</v>
      </c>
      <c r="I50" s="300"/>
      <c r="J50" s="301"/>
      <c r="K50" s="301"/>
      <c r="L50" s="406" t="s">
        <v>271</v>
      </c>
      <c r="M50" s="407"/>
      <c r="N50" s="408" t="s">
        <v>272</v>
      </c>
      <c r="O50" s="409">
        <f>O13</f>
        <v>136.41999999999999</v>
      </c>
      <c r="P50" s="298"/>
      <c r="Q50" s="302"/>
    </row>
    <row r="51" spans="2:17" ht="16.5" outlineLevel="1">
      <c r="B51" s="93"/>
      <c r="C51" s="91"/>
      <c r="D51" s="299" t="s">
        <v>291</v>
      </c>
      <c r="E51" s="603">
        <v>3</v>
      </c>
      <c r="F51" s="392">
        <v>4743.8181573981356</v>
      </c>
      <c r="G51" s="393">
        <f>F51-$O$48</f>
        <v>813.81815739813555</v>
      </c>
      <c r="H51" s="394">
        <f>G51/$O$49</f>
        <v>45.212119855451974</v>
      </c>
      <c r="I51" s="303"/>
      <c r="J51" s="303"/>
      <c r="K51" s="91"/>
      <c r="P51" s="298"/>
      <c r="Q51" s="91"/>
    </row>
    <row r="52" spans="2:17" ht="16.5" outlineLevel="1">
      <c r="B52" s="116"/>
      <c r="C52" s="91"/>
      <c r="D52" s="91"/>
      <c r="E52" s="296"/>
      <c r="F52" s="179"/>
      <c r="G52" s="105"/>
      <c r="H52" s="105"/>
      <c r="I52" s="303"/>
      <c r="J52" s="303"/>
      <c r="K52" s="91"/>
      <c r="L52" s="73"/>
      <c r="M52" s="105"/>
      <c r="N52" s="105"/>
      <c r="O52" s="195"/>
      <c r="P52" s="304"/>
      <c r="Q52" s="302"/>
    </row>
    <row r="53" spans="2:17" ht="16.5" outlineLevel="1">
      <c r="B53" s="105"/>
      <c r="C53" s="105"/>
      <c r="D53" s="423" t="s">
        <v>305</v>
      </c>
      <c r="E53" s="422"/>
      <c r="F53" s="422"/>
      <c r="G53" s="422"/>
      <c r="H53" s="422"/>
      <c r="I53" s="105"/>
      <c r="J53" s="105"/>
      <c r="K53" s="153"/>
      <c r="L53" s="423" t="s">
        <v>300</v>
      </c>
      <c r="M53" s="422"/>
      <c r="N53" s="422"/>
      <c r="O53" s="422"/>
      <c r="P53" s="422"/>
      <c r="Q53" s="153"/>
    </row>
    <row r="54" spans="2:17" ht="16.5" outlineLevel="1">
      <c r="B54" s="105"/>
      <c r="C54" s="105"/>
      <c r="D54" s="293"/>
      <c r="E54" s="293"/>
      <c r="F54" s="293"/>
      <c r="G54" s="293"/>
      <c r="H54" s="293"/>
      <c r="I54" s="105"/>
      <c r="J54" s="105"/>
      <c r="K54" s="153"/>
      <c r="L54" s="306"/>
      <c r="M54" s="306"/>
      <c r="N54" s="306"/>
      <c r="O54" s="306"/>
      <c r="P54" s="306"/>
      <c r="Q54" s="153"/>
    </row>
    <row r="55" spans="2:17" ht="16.5" outlineLevel="1">
      <c r="B55" s="307"/>
      <c r="C55" s="308"/>
      <c r="D55" s="309" t="s">
        <v>294</v>
      </c>
      <c r="E55" s="291"/>
      <c r="F55" s="291"/>
      <c r="G55" s="291"/>
      <c r="H55" s="291"/>
      <c r="I55" s="307"/>
      <c r="J55" s="105"/>
      <c r="K55" s="310"/>
      <c r="L55" s="311" t="s">
        <v>294</v>
      </c>
      <c r="M55" s="305"/>
      <c r="N55" s="305"/>
      <c r="O55" s="305"/>
      <c r="P55" s="305"/>
      <c r="Q55" s="310"/>
    </row>
    <row r="56" spans="2:17" ht="16.5" outlineLevel="1">
      <c r="B56" s="179"/>
      <c r="C56" s="472">
        <f>'DCF Model'!K301</f>
        <v>6187.471392862939</v>
      </c>
      <c r="D56" s="359">
        <f>E56-0.5</f>
        <v>8</v>
      </c>
      <c r="E56" s="359">
        <f>F56-0.5</f>
        <v>8.5</v>
      </c>
      <c r="F56" s="359">
        <f>O46</f>
        <v>9</v>
      </c>
      <c r="G56" s="359">
        <f>+F56+0.5</f>
        <v>9.5</v>
      </c>
      <c r="H56" s="359">
        <f>+G56+0.5</f>
        <v>10</v>
      </c>
      <c r="I56" s="153"/>
      <c r="J56" s="105"/>
      <c r="K56" s="313"/>
      <c r="L56" s="359">
        <f>D56</f>
        <v>8</v>
      </c>
      <c r="M56" s="359">
        <f>E56</f>
        <v>8.5</v>
      </c>
      <c r="N56" s="359">
        <f>F56</f>
        <v>9</v>
      </c>
      <c r="O56" s="359">
        <f>G56</f>
        <v>9.5</v>
      </c>
      <c r="P56" s="359">
        <f>H56</f>
        <v>10</v>
      </c>
      <c r="Q56" s="153"/>
    </row>
    <row r="57" spans="2:17" ht="16.5" outlineLevel="1">
      <c r="B57" s="695" t="s">
        <v>66</v>
      </c>
      <c r="C57" s="312">
        <f>C20</f>
        <v>7.303131283045794E-2</v>
      </c>
      <c r="D57" s="314">
        <f>'DCF Model'!L315</f>
        <v>5903.3259578289217</v>
      </c>
      <c r="E57" s="315">
        <f>'DCF Model'!M315</f>
        <v>6199.4903694774512</v>
      </c>
      <c r="F57" s="315">
        <f>'DCF Model'!N315</f>
        <v>6495.6547811259816</v>
      </c>
      <c r="G57" s="315">
        <f>'DCF Model'!O315</f>
        <v>6791.819192774512</v>
      </c>
      <c r="H57" s="316">
        <f>'DCF Model'!P315</f>
        <v>7087.9836044230433</v>
      </c>
      <c r="I57" s="153"/>
      <c r="J57" s="695" t="s">
        <v>66</v>
      </c>
      <c r="K57" s="312">
        <f>C57</f>
        <v>7.303131283045794E-2</v>
      </c>
      <c r="L57" s="360">
        <f t="shared" ref="L57:P61" si="3">D68/$O$49</f>
        <v>109.62921987938454</v>
      </c>
      <c r="M57" s="361">
        <f t="shared" si="3"/>
        <v>126.08279830430284</v>
      </c>
      <c r="N57" s="361">
        <f t="shared" si="3"/>
        <v>142.53637672922119</v>
      </c>
      <c r="O57" s="361">
        <f t="shared" si="3"/>
        <v>158.98995515413955</v>
      </c>
      <c r="P57" s="362">
        <f t="shared" si="3"/>
        <v>175.44353357905797</v>
      </c>
      <c r="Q57" s="153"/>
    </row>
    <row r="58" spans="2:17" ht="16.5" outlineLevel="1">
      <c r="B58" s="695"/>
      <c r="C58" s="312">
        <f>C21</f>
        <v>7.8031312830457944E-2</v>
      </c>
      <c r="D58" s="320">
        <f>'DCF Model'!L316</f>
        <v>5763.1663946870858</v>
      </c>
      <c r="E58" s="321">
        <f>'DCF Model'!M316</f>
        <v>6051.712598871236</v>
      </c>
      <c r="F58" s="321">
        <f>'DCF Model'!N316</f>
        <v>6340.2588030553861</v>
      </c>
      <c r="G58" s="321">
        <f>'DCF Model'!O316</f>
        <v>6628.8050072395363</v>
      </c>
      <c r="H58" s="322">
        <f>'DCF Model'!P316</f>
        <v>6917.3512114236864</v>
      </c>
      <c r="I58" s="153"/>
      <c r="J58" s="695"/>
      <c r="K58" s="312">
        <f>C58</f>
        <v>7.8031312830457944E-2</v>
      </c>
      <c r="L58" s="363">
        <f t="shared" si="3"/>
        <v>101.84257748261588</v>
      </c>
      <c r="M58" s="364">
        <f t="shared" si="3"/>
        <v>117.87292215951311</v>
      </c>
      <c r="N58" s="364">
        <f t="shared" si="3"/>
        <v>133.90326683641035</v>
      </c>
      <c r="O58" s="364">
        <f t="shared" si="3"/>
        <v>149.93361151330757</v>
      </c>
      <c r="P58" s="365">
        <f t="shared" si="3"/>
        <v>165.96395619020481</v>
      </c>
      <c r="Q58" s="153"/>
    </row>
    <row r="59" spans="2:17" ht="16.5" outlineLevel="1">
      <c r="B59" s="695"/>
      <c r="C59" s="312">
        <f>C22</f>
        <v>8.3031312830457948E-2</v>
      </c>
      <c r="D59" s="320">
        <f>'DCF Model'!L317</f>
        <v>5627.1066588324447</v>
      </c>
      <c r="E59" s="321">
        <f>'DCF Model'!M317</f>
        <v>5908.264519885548</v>
      </c>
      <c r="F59" s="326">
        <f>'DCF Model'!N317</f>
        <v>6189.4223809386494</v>
      </c>
      <c r="G59" s="321">
        <f>'DCF Model'!O317</f>
        <v>6470.5802419917527</v>
      </c>
      <c r="H59" s="322">
        <f>'DCF Model'!P317</f>
        <v>6751.7381030448551</v>
      </c>
      <c r="I59" s="153"/>
      <c r="J59" s="695"/>
      <c r="K59" s="312">
        <f>C59</f>
        <v>8.3031312830457948E-2</v>
      </c>
      <c r="L59" s="363">
        <f t="shared" si="3"/>
        <v>94.283703268469154</v>
      </c>
      <c r="M59" s="364">
        <f t="shared" si="3"/>
        <v>109.903584438086</v>
      </c>
      <c r="N59" s="366">
        <f t="shared" si="3"/>
        <v>125.52346560770275</v>
      </c>
      <c r="O59" s="364">
        <f t="shared" si="3"/>
        <v>141.14334677731961</v>
      </c>
      <c r="P59" s="365">
        <f t="shared" si="3"/>
        <v>156.76322794693638</v>
      </c>
      <c r="Q59" s="153"/>
    </row>
    <row r="60" spans="2:17" ht="16.5" outlineLevel="1">
      <c r="B60" s="695"/>
      <c r="C60" s="312">
        <f>C23</f>
        <v>8.8031312830457953E-2</v>
      </c>
      <c r="D60" s="320">
        <f>'DCF Model'!L318</f>
        <v>5495.0073992487514</v>
      </c>
      <c r="E60" s="321">
        <f>'DCF Model'!M318</f>
        <v>5768.9988321971769</v>
      </c>
      <c r="F60" s="321">
        <f>'DCF Model'!N318</f>
        <v>6042.9902651456032</v>
      </c>
      <c r="G60" s="321">
        <f>'DCF Model'!O318</f>
        <v>6316.9816980940295</v>
      </c>
      <c r="H60" s="322">
        <f>'DCF Model'!P318</f>
        <v>6590.973131042455</v>
      </c>
      <c r="I60" s="153"/>
      <c r="J60" s="695"/>
      <c r="K60" s="312">
        <f>C60</f>
        <v>8.8031312830457953E-2</v>
      </c>
      <c r="L60" s="363">
        <f t="shared" si="3"/>
        <v>86.944855513819519</v>
      </c>
      <c r="M60" s="364">
        <f t="shared" si="3"/>
        <v>102.16660178873205</v>
      </c>
      <c r="N60" s="364">
        <f t="shared" si="3"/>
        <v>117.38834806364463</v>
      </c>
      <c r="O60" s="364">
        <f t="shared" si="3"/>
        <v>132.61009433855719</v>
      </c>
      <c r="P60" s="365">
        <f t="shared" si="3"/>
        <v>147.83184061346972</v>
      </c>
      <c r="Q60" s="153"/>
    </row>
    <row r="61" spans="2:17" ht="16.5" outlineLevel="1">
      <c r="B61" s="695"/>
      <c r="C61" s="312">
        <f>C24</f>
        <v>9.3031312830457957E-2</v>
      </c>
      <c r="D61" s="328">
        <f>'DCF Model'!L319</f>
        <v>5366.7346322170224</v>
      </c>
      <c r="E61" s="329">
        <f>'DCF Model'!M319</f>
        <v>5633.7739124231566</v>
      </c>
      <c r="F61" s="329">
        <f>'DCF Model'!N319</f>
        <v>5900.8131926292908</v>
      </c>
      <c r="G61" s="329">
        <f>'DCF Model'!O319</f>
        <v>6167.8524728354259</v>
      </c>
      <c r="H61" s="330">
        <f>'DCF Model'!P319</f>
        <v>6434.8917530415592</v>
      </c>
      <c r="I61" s="153"/>
      <c r="J61" s="695"/>
      <c r="K61" s="312">
        <f>C61</f>
        <v>9.3031312830457957E-2</v>
      </c>
      <c r="L61" s="367">
        <f t="shared" si="3"/>
        <v>79.818590678723467</v>
      </c>
      <c r="M61" s="368">
        <f t="shared" si="3"/>
        <v>94.654106245730929</v>
      </c>
      <c r="N61" s="368">
        <f t="shared" si="3"/>
        <v>109.48962181273838</v>
      </c>
      <c r="O61" s="368">
        <f t="shared" si="3"/>
        <v>124.32513737974588</v>
      </c>
      <c r="P61" s="369">
        <f t="shared" si="3"/>
        <v>139.16065294675329</v>
      </c>
      <c r="Q61" s="153"/>
    </row>
    <row r="62" spans="2:17" ht="16.5" outlineLevel="1">
      <c r="B62" s="105"/>
      <c r="C62" s="153"/>
      <c r="D62" s="153"/>
      <c r="E62" s="153"/>
      <c r="F62" s="153"/>
      <c r="G62" s="153"/>
      <c r="H62" s="153"/>
      <c r="I62" s="153"/>
      <c r="J62" s="153"/>
      <c r="K62" s="153"/>
      <c r="L62" s="153"/>
      <c r="M62" s="153"/>
      <c r="N62" s="153"/>
      <c r="O62" s="153"/>
      <c r="P62" s="153"/>
      <c r="Q62" s="105"/>
    </row>
    <row r="63" spans="2:17" ht="16.5" outlineLevel="1">
      <c r="B63" s="105"/>
      <c r="C63" s="153"/>
      <c r="D63" s="153"/>
      <c r="E63" s="153"/>
      <c r="F63" s="153"/>
      <c r="G63" s="153"/>
      <c r="H63" s="153"/>
      <c r="I63" s="153"/>
      <c r="J63" s="153"/>
      <c r="K63" s="153"/>
      <c r="L63" s="153"/>
      <c r="M63" s="153"/>
      <c r="N63" s="153"/>
      <c r="O63" s="153"/>
      <c r="P63" s="153"/>
      <c r="Q63" s="105"/>
    </row>
    <row r="64" spans="2:17" ht="16.5" outlineLevel="1">
      <c r="B64" s="105"/>
      <c r="C64" s="105"/>
      <c r="D64" s="423" t="s">
        <v>301</v>
      </c>
      <c r="E64" s="422"/>
      <c r="F64" s="422"/>
      <c r="G64" s="422"/>
      <c r="H64" s="422"/>
      <c r="I64" s="105"/>
      <c r="J64" s="153"/>
      <c r="K64" s="153"/>
      <c r="L64" s="423" t="s">
        <v>302</v>
      </c>
      <c r="M64" s="422"/>
      <c r="N64" s="422"/>
      <c r="O64" s="422"/>
      <c r="P64" s="422"/>
      <c r="Q64" s="105"/>
    </row>
    <row r="65" spans="2:17" ht="16.5" outlineLevel="1">
      <c r="B65" s="105"/>
      <c r="C65" s="105"/>
      <c r="D65" s="293"/>
      <c r="E65" s="293"/>
      <c r="F65" s="293"/>
      <c r="G65" s="293"/>
      <c r="H65" s="293"/>
      <c r="I65" s="105"/>
      <c r="J65" s="153"/>
      <c r="K65" s="153"/>
      <c r="L65" s="306"/>
      <c r="M65" s="306"/>
      <c r="N65" s="306"/>
      <c r="O65" s="306"/>
      <c r="P65" s="306"/>
      <c r="Q65" s="105"/>
    </row>
    <row r="66" spans="2:17" ht="16.5" outlineLevel="1">
      <c r="B66" s="307"/>
      <c r="C66" s="307"/>
      <c r="D66" s="309" t="s">
        <v>294</v>
      </c>
      <c r="E66" s="291"/>
      <c r="F66" s="291"/>
      <c r="G66" s="291"/>
      <c r="H66" s="291"/>
      <c r="I66" s="307"/>
      <c r="J66" s="310"/>
      <c r="K66" s="310"/>
      <c r="L66" s="311" t="s">
        <v>294</v>
      </c>
      <c r="M66" s="305"/>
      <c r="N66" s="305"/>
      <c r="O66" s="305"/>
      <c r="P66" s="305"/>
      <c r="Q66" s="105"/>
    </row>
    <row r="67" spans="2:17" ht="16.5" outlineLevel="1">
      <c r="B67" s="153"/>
      <c r="C67" s="335"/>
      <c r="D67" s="359">
        <f>D56</f>
        <v>8</v>
      </c>
      <c r="E67" s="359">
        <f>E56</f>
        <v>8.5</v>
      </c>
      <c r="F67" s="359">
        <f>F56</f>
        <v>9</v>
      </c>
      <c r="G67" s="359">
        <f>G56</f>
        <v>9.5</v>
      </c>
      <c r="H67" s="359">
        <f>H56</f>
        <v>10</v>
      </c>
      <c r="I67" s="105"/>
      <c r="J67" s="153"/>
      <c r="K67" s="335"/>
      <c r="L67" s="359">
        <f>D67</f>
        <v>8</v>
      </c>
      <c r="M67" s="359">
        <f>E67</f>
        <v>8.5</v>
      </c>
      <c r="N67" s="359">
        <f>F67</f>
        <v>9</v>
      </c>
      <c r="O67" s="359">
        <f>G67</f>
        <v>9.5</v>
      </c>
      <c r="P67" s="359">
        <f>H67</f>
        <v>10</v>
      </c>
      <c r="Q67" s="105"/>
    </row>
    <row r="68" spans="2:17" ht="16.5" outlineLevel="1">
      <c r="B68" s="694" t="s">
        <v>66</v>
      </c>
      <c r="C68" s="312">
        <f>C57</f>
        <v>7.303131283045794E-2</v>
      </c>
      <c r="D68" s="370">
        <f t="shared" ref="D68:H72" si="4">D57-$O$48</f>
        <v>1973.3259578289217</v>
      </c>
      <c r="E68" s="371">
        <f t="shared" si="4"/>
        <v>2269.4903694774512</v>
      </c>
      <c r="F68" s="371">
        <f t="shared" si="4"/>
        <v>2565.6547811259816</v>
      </c>
      <c r="G68" s="371">
        <f t="shared" si="4"/>
        <v>2861.819192774512</v>
      </c>
      <c r="H68" s="372">
        <f t="shared" si="4"/>
        <v>3157.9836044230433</v>
      </c>
      <c r="I68" s="105"/>
      <c r="J68" s="694" t="s">
        <v>66</v>
      </c>
      <c r="K68" s="312">
        <f>C68</f>
        <v>7.303131283045794E-2</v>
      </c>
      <c r="L68" s="373">
        <f t="shared" ref="L68:P72" si="5">L57/$O$50-1</f>
        <v>-0.19638454860442345</v>
      </c>
      <c r="M68" s="374">
        <f t="shared" si="5"/>
        <v>-7.5774825507236132E-2</v>
      </c>
      <c r="N68" s="374">
        <f t="shared" si="5"/>
        <v>4.4834897589951739E-2</v>
      </c>
      <c r="O68" s="374">
        <f t="shared" si="5"/>
        <v>0.16544462068713939</v>
      </c>
      <c r="P68" s="375">
        <f t="shared" si="5"/>
        <v>0.2860543437843277</v>
      </c>
      <c r="Q68" s="105"/>
    </row>
    <row r="69" spans="2:17" ht="16.5" outlineLevel="1">
      <c r="B69" s="694"/>
      <c r="C69" s="312">
        <f>C58</f>
        <v>7.8031312830457944E-2</v>
      </c>
      <c r="D69" s="376">
        <f t="shared" si="4"/>
        <v>1833.1663946870858</v>
      </c>
      <c r="E69" s="377">
        <f t="shared" si="4"/>
        <v>2121.712598871236</v>
      </c>
      <c r="F69" s="377">
        <f t="shared" si="4"/>
        <v>2410.2588030553861</v>
      </c>
      <c r="G69" s="377">
        <f t="shared" si="4"/>
        <v>2698.8050072395363</v>
      </c>
      <c r="H69" s="378">
        <f t="shared" si="4"/>
        <v>2987.3512114236864</v>
      </c>
      <c r="I69" s="105"/>
      <c r="J69" s="694"/>
      <c r="K69" s="312">
        <f>C69</f>
        <v>7.8031312830457944E-2</v>
      </c>
      <c r="L69" s="379">
        <f t="shared" si="5"/>
        <v>-0.25346300042064296</v>
      </c>
      <c r="M69" s="380">
        <f t="shared" si="5"/>
        <v>-0.13595570913712707</v>
      </c>
      <c r="N69" s="380">
        <f t="shared" si="5"/>
        <v>-1.8448417853611176E-2</v>
      </c>
      <c r="O69" s="380">
        <f t="shared" si="5"/>
        <v>9.9058873429904493E-2</v>
      </c>
      <c r="P69" s="381">
        <f t="shared" si="5"/>
        <v>0.21656616471342049</v>
      </c>
      <c r="Q69" s="105"/>
    </row>
    <row r="70" spans="2:17" ht="16.5" outlineLevel="1">
      <c r="B70" s="694"/>
      <c r="C70" s="312">
        <f>C59</f>
        <v>8.3031312830457948E-2</v>
      </c>
      <c r="D70" s="376">
        <f t="shared" si="4"/>
        <v>1697.1066588324447</v>
      </c>
      <c r="E70" s="377">
        <f t="shared" si="4"/>
        <v>1978.264519885548</v>
      </c>
      <c r="F70" s="382">
        <f t="shared" si="4"/>
        <v>2259.4223809386494</v>
      </c>
      <c r="G70" s="377">
        <f t="shared" si="4"/>
        <v>2540.5802419917527</v>
      </c>
      <c r="H70" s="378">
        <f t="shared" si="4"/>
        <v>2821.7381030448551</v>
      </c>
      <c r="I70" s="105"/>
      <c r="J70" s="694"/>
      <c r="K70" s="312">
        <f>C70</f>
        <v>8.3031312830457948E-2</v>
      </c>
      <c r="L70" s="379">
        <f t="shared" si="5"/>
        <v>-0.30887184233639375</v>
      </c>
      <c r="M70" s="380">
        <f t="shared" si="5"/>
        <v>-0.19437337312647696</v>
      </c>
      <c r="N70" s="383">
        <f t="shared" si="5"/>
        <v>-7.9874903916560935E-2</v>
      </c>
      <c r="O70" s="380">
        <f t="shared" si="5"/>
        <v>3.4623565293355973E-2</v>
      </c>
      <c r="P70" s="381">
        <f t="shared" si="5"/>
        <v>0.14912203450327222</v>
      </c>
      <c r="Q70" s="105"/>
    </row>
    <row r="71" spans="2:17" ht="16.5" outlineLevel="1">
      <c r="B71" s="694"/>
      <c r="C71" s="312">
        <f>C60</f>
        <v>8.8031312830457953E-2</v>
      </c>
      <c r="D71" s="376">
        <f t="shared" si="4"/>
        <v>1565.0073992487514</v>
      </c>
      <c r="E71" s="377">
        <f t="shared" si="4"/>
        <v>1838.9988321971769</v>
      </c>
      <c r="F71" s="377">
        <f t="shared" si="4"/>
        <v>2112.9902651456032</v>
      </c>
      <c r="G71" s="377">
        <f t="shared" si="4"/>
        <v>2386.9816980940295</v>
      </c>
      <c r="H71" s="378">
        <f t="shared" si="4"/>
        <v>2660.973131042455</v>
      </c>
      <c r="I71" s="105"/>
      <c r="J71" s="694"/>
      <c r="K71" s="312">
        <f>C71</f>
        <v>8.8031312830457953E-2</v>
      </c>
      <c r="L71" s="379">
        <f t="shared" si="5"/>
        <v>-0.3626678235315971</v>
      </c>
      <c r="M71" s="380">
        <f t="shared" si="5"/>
        <v>-0.25108780392367647</v>
      </c>
      <c r="N71" s="380">
        <f t="shared" si="5"/>
        <v>-0.1395077843157555</v>
      </c>
      <c r="O71" s="380">
        <f t="shared" si="5"/>
        <v>-2.7927764707834646E-2</v>
      </c>
      <c r="P71" s="381">
        <f t="shared" si="5"/>
        <v>8.3652254900085987E-2</v>
      </c>
      <c r="Q71" s="105"/>
    </row>
    <row r="72" spans="2:17" ht="16.5" outlineLevel="1">
      <c r="B72" s="694"/>
      <c r="C72" s="312">
        <f>C61</f>
        <v>9.3031312830457957E-2</v>
      </c>
      <c r="D72" s="384">
        <f t="shared" si="4"/>
        <v>1436.7346322170224</v>
      </c>
      <c r="E72" s="385">
        <f t="shared" si="4"/>
        <v>1703.7739124231566</v>
      </c>
      <c r="F72" s="385">
        <f t="shared" si="4"/>
        <v>1970.8131926292908</v>
      </c>
      <c r="G72" s="385">
        <f t="shared" si="4"/>
        <v>2237.8524728354259</v>
      </c>
      <c r="H72" s="386">
        <f t="shared" si="4"/>
        <v>2504.8917530415592</v>
      </c>
      <c r="I72" s="105"/>
      <c r="J72" s="694"/>
      <c r="K72" s="312">
        <f>C72</f>
        <v>9.3031312830457957E-2</v>
      </c>
      <c r="L72" s="387">
        <f t="shared" si="5"/>
        <v>-0.41490550741296384</v>
      </c>
      <c r="M72" s="388">
        <f t="shared" si="5"/>
        <v>-0.30615667610518293</v>
      </c>
      <c r="N72" s="388">
        <f t="shared" si="5"/>
        <v>-0.19740784479740225</v>
      </c>
      <c r="O72" s="388">
        <f t="shared" si="5"/>
        <v>-8.8659013489621019E-2</v>
      </c>
      <c r="P72" s="389">
        <f t="shared" si="5"/>
        <v>2.0089817818159439E-2</v>
      </c>
      <c r="Q72" s="105"/>
    </row>
    <row r="73" spans="2:17" ht="16.5" outlineLevel="1">
      <c r="B73" s="337"/>
      <c r="C73" s="312"/>
      <c r="D73" s="354"/>
      <c r="E73" s="354"/>
      <c r="F73" s="354"/>
      <c r="G73" s="354"/>
      <c r="H73" s="354"/>
      <c r="I73" s="153"/>
      <c r="J73" s="337"/>
      <c r="K73" s="312"/>
      <c r="L73" s="355"/>
      <c r="M73" s="355"/>
      <c r="N73" s="355"/>
      <c r="O73" s="355"/>
      <c r="P73" s="355"/>
      <c r="Q73" s="105"/>
    </row>
    <row r="74" spans="2:17" ht="18" outlineLevel="1">
      <c r="B74" s="337"/>
      <c r="C74" s="312"/>
      <c r="D74" s="353"/>
      <c r="E74" s="354"/>
      <c r="F74" s="354"/>
      <c r="G74" s="354"/>
      <c r="H74" s="354"/>
      <c r="I74" s="153"/>
      <c r="J74" s="337"/>
      <c r="K74" s="312"/>
      <c r="L74" s="355"/>
      <c r="M74" s="355"/>
      <c r="N74" s="355"/>
      <c r="O74" s="355"/>
      <c r="P74" s="356" t="s">
        <v>292</v>
      </c>
      <c r="Q74" s="105"/>
    </row>
    <row r="75" spans="2:17" ht="16.5" outlineLevel="1">
      <c r="B75" s="153"/>
      <c r="C75" s="153"/>
      <c r="D75" s="295"/>
      <c r="E75" s="295"/>
      <c r="F75" s="295"/>
      <c r="G75" s="295"/>
      <c r="H75" s="295"/>
      <c r="I75" s="105"/>
      <c r="J75" s="105"/>
      <c r="K75" s="105"/>
      <c r="L75" s="105"/>
      <c r="M75" s="105"/>
      <c r="N75" s="105"/>
      <c r="O75" s="105"/>
      <c r="P75" s="105"/>
      <c r="Q75" s="105"/>
    </row>
    <row r="76" spans="2:17" ht="16.5" outlineLevel="1">
      <c r="B76" s="357"/>
      <c r="C76" s="357"/>
      <c r="D76" s="357"/>
      <c r="E76" s="357"/>
      <c r="F76" s="357"/>
      <c r="G76" s="357"/>
      <c r="H76" s="357"/>
      <c r="I76" s="357"/>
      <c r="J76" s="357"/>
      <c r="K76" s="357"/>
      <c r="L76" s="357"/>
      <c r="M76" s="357"/>
      <c r="N76" s="357"/>
      <c r="O76" s="357"/>
      <c r="P76" s="357" t="s">
        <v>284</v>
      </c>
      <c r="Q76" s="105"/>
    </row>
  </sheetData>
  <mergeCells count="8">
    <mergeCell ref="B68:B72"/>
    <mergeCell ref="J68:J72"/>
    <mergeCell ref="B20:B24"/>
    <mergeCell ref="J20:J24"/>
    <mergeCell ref="B31:B35"/>
    <mergeCell ref="J31:J35"/>
    <mergeCell ref="B57:B61"/>
    <mergeCell ref="J57:J61"/>
  </mergeCells>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Drop Down 3">
              <controlPr defaultSize="0" autoLine="0" autoPict="0">
                <anchor moveWithCells="1">
                  <from>
                    <xdr:col>3</xdr:col>
                    <xdr:colOff>19050</xdr:colOff>
                    <xdr:row>4</xdr:row>
                    <xdr:rowOff>19050</xdr:rowOff>
                  </from>
                  <to>
                    <xdr:col>5</xdr:col>
                    <xdr:colOff>0</xdr:colOff>
                    <xdr:row>4</xdr:row>
                    <xdr:rowOff>234950</xdr:rowOff>
                  </to>
                </anchor>
              </controlPr>
            </control>
          </mc:Choice>
        </mc:AlternateContent>
        <mc:AlternateContent xmlns:mc="http://schemas.openxmlformats.org/markup-compatibility/2006">
          <mc:Choice Requires="x14">
            <control shapeId="1028" r:id="rId4" name="Drop Down 4">
              <controlPr defaultSize="0" autoLine="0" autoPict="0">
                <anchor moveWithCells="1">
                  <from>
                    <xdr:col>2</xdr:col>
                    <xdr:colOff>673100</xdr:colOff>
                    <xdr:row>40</xdr:row>
                    <xdr:rowOff>171450</xdr:rowOff>
                  </from>
                  <to>
                    <xdr:col>4</xdr:col>
                    <xdr:colOff>603250</xdr:colOff>
                    <xdr:row>42</xdr:row>
                    <xdr:rowOff>69850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6E2C-D021-41BA-86BD-29A982E0EF38}">
  <sheetPr codeName="Sheet3"/>
  <dimension ref="C2:R115"/>
  <sheetViews>
    <sheetView showGridLines="0" topLeftCell="A39" zoomScale="119" zoomScaleNormal="130" workbookViewId="0">
      <selection activeCell="D86" sqref="D86"/>
    </sheetView>
  </sheetViews>
  <sheetFormatPr defaultRowHeight="14" outlineLevelRow="1"/>
  <cols>
    <col min="2" max="2" width="3.6640625" customWidth="1"/>
    <col min="3" max="3" width="33.5" customWidth="1"/>
    <col min="4" max="4" width="11.5" customWidth="1"/>
    <col min="6" max="6" width="8.75" bestFit="1" customWidth="1"/>
    <col min="7" max="7" width="10.5" customWidth="1"/>
    <col min="8" max="8" width="9.6640625" bestFit="1" customWidth="1"/>
    <col min="9" max="11" width="8.75" bestFit="1" customWidth="1"/>
    <col min="12" max="12" width="9.4140625" customWidth="1"/>
    <col min="13" max="13" width="12.75" customWidth="1"/>
  </cols>
  <sheetData>
    <row r="2" spans="3:18" ht="22">
      <c r="C2" s="231" t="s">
        <v>98</v>
      </c>
      <c r="D2" s="214"/>
      <c r="E2" s="214"/>
      <c r="F2" s="214"/>
      <c r="G2" s="214"/>
      <c r="H2" s="214"/>
      <c r="I2" s="214"/>
      <c r="J2" s="214"/>
      <c r="K2" s="214"/>
      <c r="L2" s="214"/>
      <c r="M2" s="214"/>
      <c r="N2" s="214"/>
      <c r="O2" s="2"/>
      <c r="P2" s="2"/>
      <c r="Q2" s="2"/>
      <c r="R2" s="2"/>
    </row>
    <row r="3" spans="3:18" outlineLevel="1"/>
    <row r="4" spans="3:18" outlineLevel="1">
      <c r="C4" s="237" t="s">
        <v>63</v>
      </c>
      <c r="D4">
        <f>'DCF Sensitivity Analysis'!$D$5</f>
        <v>2</v>
      </c>
    </row>
    <row r="5" spans="3:18" ht="14.5" outlineLevel="1" thickBot="1">
      <c r="G5" s="233">
        <v>2026</v>
      </c>
      <c r="H5" s="233">
        <f>G5+1</f>
        <v>2027</v>
      </c>
      <c r="I5" s="233">
        <f t="shared" ref="I5:K5" si="0">H5+1</f>
        <v>2028</v>
      </c>
      <c r="J5" s="233">
        <f t="shared" si="0"/>
        <v>2029</v>
      </c>
      <c r="K5" s="233">
        <f t="shared" si="0"/>
        <v>2030</v>
      </c>
      <c r="L5" s="233" t="s">
        <v>69</v>
      </c>
    </row>
    <row r="6" spans="3:18" outlineLevel="1"/>
    <row r="7" spans="3:18" outlineLevel="1">
      <c r="C7" s="237" t="s">
        <v>58</v>
      </c>
      <c r="G7" s="482">
        <f>CHOOSE($D$4,G9,G10,G11)</f>
        <v>0.05</v>
      </c>
      <c r="H7" s="482">
        <f t="shared" ref="H7:L7" si="1">CHOOSE($D$4,H9,H10,H11)</f>
        <v>0.04</v>
      </c>
      <c r="I7" s="482">
        <f t="shared" si="1"/>
        <v>3.5000000000000003E-2</v>
      </c>
      <c r="J7" s="482">
        <f t="shared" si="1"/>
        <v>3.5000000000000003E-2</v>
      </c>
      <c r="K7" s="482">
        <f t="shared" si="1"/>
        <v>0.05</v>
      </c>
      <c r="L7" s="482">
        <f t="shared" si="1"/>
        <v>0.05</v>
      </c>
    </row>
    <row r="8" spans="3:18" outlineLevel="1"/>
    <row r="9" spans="3:18" ht="15" outlineLevel="1">
      <c r="C9" s="14" t="s">
        <v>60</v>
      </c>
      <c r="G9" s="484">
        <v>6.0000000000000005E-2</v>
      </c>
      <c r="H9" s="485">
        <v>0.05</v>
      </c>
      <c r="I9" s="485">
        <v>4.5000000000000005E-2</v>
      </c>
      <c r="J9" s="485">
        <v>4.5000000000000005E-2</v>
      </c>
      <c r="K9" s="485">
        <v>6.0000000000000005E-2</v>
      </c>
      <c r="L9" s="486">
        <v>0.06</v>
      </c>
    </row>
    <row r="10" spans="3:18" ht="15" outlineLevel="1">
      <c r="C10" s="14" t="s">
        <v>61</v>
      </c>
      <c r="G10" s="487">
        <v>0.05</v>
      </c>
      <c r="H10" s="3">
        <v>0.04</v>
      </c>
      <c r="I10" s="3">
        <v>3.5000000000000003E-2</v>
      </c>
      <c r="J10" s="3">
        <v>3.5000000000000003E-2</v>
      </c>
      <c r="K10" s="3">
        <v>0.05</v>
      </c>
      <c r="L10" s="488">
        <v>0.05</v>
      </c>
    </row>
    <row r="11" spans="3:18" ht="15" outlineLevel="1">
      <c r="C11" s="14" t="s">
        <v>62</v>
      </c>
      <c r="G11" s="489">
        <v>0.04</v>
      </c>
      <c r="H11" s="490">
        <v>0.03</v>
      </c>
      <c r="I11" s="490">
        <v>2.5000000000000001E-2</v>
      </c>
      <c r="J11" s="490">
        <v>2.5000000000000001E-2</v>
      </c>
      <c r="K11" s="490">
        <v>0.04</v>
      </c>
      <c r="L11" s="491">
        <v>0.04</v>
      </c>
    </row>
    <row r="12" spans="3:18" outlineLevel="1"/>
    <row r="13" spans="3:18" outlineLevel="1"/>
    <row r="14" spans="3:18" outlineLevel="1">
      <c r="C14" s="237" t="s">
        <v>65</v>
      </c>
      <c r="G14" s="483">
        <f>CHOOSE($D$4,G16,G17,G18)</f>
        <v>0.55500000000000005</v>
      </c>
      <c r="H14" s="483">
        <f t="shared" ref="H14:L14" si="2">CHOOSE($D$4,H16,H17,H18)</f>
        <v>0.55300000000000005</v>
      </c>
      <c r="I14" s="483">
        <f t="shared" si="2"/>
        <v>0.55000000000000004</v>
      </c>
      <c r="J14" s="483">
        <f t="shared" si="2"/>
        <v>0.54800000000000004</v>
      </c>
      <c r="K14" s="483">
        <f t="shared" si="2"/>
        <v>0.54500000000000004</v>
      </c>
      <c r="L14" s="483">
        <f t="shared" si="2"/>
        <v>0.52249999999999996</v>
      </c>
    </row>
    <row r="15" spans="3:18" outlineLevel="1">
      <c r="G15" s="7"/>
      <c r="H15" s="7"/>
      <c r="I15" s="7"/>
      <c r="J15" s="7"/>
      <c r="K15" s="7"/>
      <c r="L15" s="7"/>
    </row>
    <row r="16" spans="3:18" ht="15" outlineLevel="1">
      <c r="C16" s="14" t="s">
        <v>60</v>
      </c>
      <c r="G16" s="484">
        <v>0.54</v>
      </c>
      <c r="H16" s="485">
        <v>0.53800000000000003</v>
      </c>
      <c r="I16" s="485">
        <v>0.53500000000000003</v>
      </c>
      <c r="J16" s="485">
        <v>0.53300000000000003</v>
      </c>
      <c r="K16" s="485">
        <v>0.53</v>
      </c>
      <c r="L16" s="486">
        <v>0.50749999999999995</v>
      </c>
    </row>
    <row r="17" spans="3:13" ht="15" outlineLevel="1">
      <c r="C17" s="14" t="s">
        <v>61</v>
      </c>
      <c r="G17" s="492">
        <v>0.55500000000000005</v>
      </c>
      <c r="H17" s="7">
        <v>0.55300000000000005</v>
      </c>
      <c r="I17" s="7">
        <v>0.55000000000000004</v>
      </c>
      <c r="J17" s="7">
        <v>0.54800000000000004</v>
      </c>
      <c r="K17" s="7">
        <v>0.54500000000000004</v>
      </c>
      <c r="L17" s="493">
        <v>0.52249999999999996</v>
      </c>
    </row>
    <row r="18" spans="3:13" ht="15" outlineLevel="1">
      <c r="C18" s="14" t="s">
        <v>62</v>
      </c>
      <c r="G18" s="489">
        <v>0.57000000000000006</v>
      </c>
      <c r="H18" s="490">
        <v>0.56800000000000006</v>
      </c>
      <c r="I18" s="490">
        <v>0.56500000000000006</v>
      </c>
      <c r="J18" s="490">
        <v>0.56300000000000006</v>
      </c>
      <c r="K18" s="490">
        <v>0.56000000000000005</v>
      </c>
      <c r="L18" s="491">
        <v>0.53749999999999998</v>
      </c>
    </row>
    <row r="19" spans="3:13" outlineLevel="1"/>
    <row r="20" spans="3:13" outlineLevel="1">
      <c r="C20" s="238" t="s">
        <v>64</v>
      </c>
      <c r="G20" s="483">
        <f>CHOOSE($D$4,G22,G23,G24)</f>
        <v>0.06</v>
      </c>
      <c r="H20" s="483">
        <f t="shared" ref="H20:L20" si="3">CHOOSE($D$4,H22,H23,H24)</f>
        <v>5.8000000000000003E-2</v>
      </c>
      <c r="I20" s="483">
        <f t="shared" si="3"/>
        <v>5.5E-2</v>
      </c>
      <c r="J20" s="483">
        <f t="shared" si="3"/>
        <v>5.2999999999999999E-2</v>
      </c>
      <c r="K20" s="483">
        <f t="shared" si="3"/>
        <v>0.05</v>
      </c>
      <c r="L20" s="483">
        <f t="shared" si="3"/>
        <v>4.7E-2</v>
      </c>
    </row>
    <row r="21" spans="3:13" outlineLevel="1">
      <c r="C21" s="6"/>
    </row>
    <row r="22" spans="3:13" ht="15" outlineLevel="1">
      <c r="C22" s="14" t="s">
        <v>60</v>
      </c>
      <c r="G22" s="484">
        <v>5.5E-2</v>
      </c>
      <c r="H22" s="485">
        <v>5.3000000000000005E-2</v>
      </c>
      <c r="I22" s="485">
        <v>0.05</v>
      </c>
      <c r="J22" s="485">
        <v>4.8000000000000001E-2</v>
      </c>
      <c r="K22" s="485">
        <v>4.5000000000000005E-2</v>
      </c>
      <c r="L22" s="486">
        <v>4.2000000000000003E-2</v>
      </c>
    </row>
    <row r="23" spans="3:13" ht="15" outlineLevel="1">
      <c r="C23" s="14" t="s">
        <v>61</v>
      </c>
      <c r="G23" s="492">
        <v>0.06</v>
      </c>
      <c r="H23" s="7">
        <v>5.8000000000000003E-2</v>
      </c>
      <c r="I23" s="7">
        <v>5.5E-2</v>
      </c>
      <c r="J23" s="7">
        <v>5.2999999999999999E-2</v>
      </c>
      <c r="K23" s="7">
        <v>0.05</v>
      </c>
      <c r="L23" s="493">
        <v>4.7E-2</v>
      </c>
    </row>
    <row r="24" spans="3:13" ht="15" outlineLevel="1">
      <c r="C24" s="14" t="s">
        <v>62</v>
      </c>
      <c r="G24" s="489">
        <v>6.5000000000000002E-2</v>
      </c>
      <c r="H24" s="490">
        <v>6.3E-2</v>
      </c>
      <c r="I24" s="490">
        <v>0.06</v>
      </c>
      <c r="J24" s="490">
        <v>5.7999999999999996E-2</v>
      </c>
      <c r="K24" s="490">
        <v>5.5E-2</v>
      </c>
      <c r="L24" s="491">
        <v>5.1999999999999998E-2</v>
      </c>
    </row>
    <row r="25" spans="3:13" outlineLevel="1"/>
    <row r="26" spans="3:13" ht="15" outlineLevel="1">
      <c r="C26" s="99" t="s">
        <v>59</v>
      </c>
      <c r="G26" s="482">
        <v>2.7E-2</v>
      </c>
      <c r="H26" s="482">
        <v>2.5000000000000001E-2</v>
      </c>
      <c r="I26" s="482">
        <v>0.02</v>
      </c>
      <c r="J26" s="482">
        <v>0.02</v>
      </c>
      <c r="K26" s="482">
        <v>0.02</v>
      </c>
      <c r="L26" s="482">
        <v>1.4999999999999999E-2</v>
      </c>
    </row>
    <row r="27" spans="3:13" outlineLevel="1"/>
    <row r="28" spans="3:13" ht="20.5" outlineLevel="1">
      <c r="C28" s="35" t="s">
        <v>386</v>
      </c>
      <c r="D28" s="98"/>
      <c r="G28" s="98"/>
      <c r="H28" s="98"/>
      <c r="I28" s="98"/>
      <c r="J28" s="98"/>
      <c r="K28" s="98"/>
      <c r="L28" s="98"/>
      <c r="M28" s="98"/>
    </row>
    <row r="29" spans="3:13" ht="15" outlineLevel="1">
      <c r="C29" s="99" t="s">
        <v>12</v>
      </c>
      <c r="D29" s="100" t="s">
        <v>108</v>
      </c>
      <c r="G29" s="101">
        <v>10</v>
      </c>
      <c r="H29" s="476">
        <v>10</v>
      </c>
      <c r="I29" s="476">
        <v>10</v>
      </c>
      <c r="J29" s="476">
        <v>10</v>
      </c>
      <c r="K29" s="476">
        <v>10</v>
      </c>
      <c r="L29" s="477">
        <v>10</v>
      </c>
    </row>
    <row r="30" spans="3:13" ht="15" outlineLevel="1">
      <c r="C30" s="99" t="s">
        <v>13</v>
      </c>
      <c r="D30" s="100" t="s">
        <v>108</v>
      </c>
      <c r="G30" s="102">
        <v>150</v>
      </c>
      <c r="H30" s="478">
        <v>150</v>
      </c>
      <c r="I30" s="478">
        <v>150</v>
      </c>
      <c r="J30" s="478">
        <v>150</v>
      </c>
      <c r="K30" s="478">
        <v>150</v>
      </c>
      <c r="L30" s="479">
        <v>150</v>
      </c>
    </row>
    <row r="31" spans="3:13" ht="15" outlineLevel="1">
      <c r="C31" s="99" t="s">
        <v>23</v>
      </c>
      <c r="D31" s="100" t="s">
        <v>108</v>
      </c>
      <c r="G31" s="103">
        <v>45</v>
      </c>
      <c r="H31" s="480">
        <v>45</v>
      </c>
      <c r="I31" s="480">
        <v>45</v>
      </c>
      <c r="J31" s="480">
        <v>45</v>
      </c>
      <c r="K31" s="480">
        <v>45</v>
      </c>
      <c r="L31" s="481">
        <v>45</v>
      </c>
    </row>
    <row r="32" spans="3:13" ht="15" outlineLevel="1">
      <c r="C32" s="99" t="s">
        <v>118</v>
      </c>
      <c r="G32" s="104">
        <v>2.5000000000000001E-2</v>
      </c>
      <c r="H32" s="104">
        <v>2.5000000000000001E-2</v>
      </c>
      <c r="I32" s="104">
        <v>2.5000000000000001E-2</v>
      </c>
      <c r="J32" s="104">
        <v>2.5000000000000001E-2</v>
      </c>
      <c r="K32" s="104">
        <v>2.5000000000000001E-2</v>
      </c>
      <c r="L32" s="104">
        <v>2.5000000000000001E-2</v>
      </c>
    </row>
    <row r="33" spans="3:14" ht="15" outlineLevel="1">
      <c r="C33" s="99" t="s">
        <v>119</v>
      </c>
      <c r="G33" s="104">
        <v>1.2E-2</v>
      </c>
      <c r="H33" s="104">
        <v>1.2E-2</v>
      </c>
      <c r="I33" s="104">
        <v>1.2E-2</v>
      </c>
      <c r="J33" s="104">
        <v>1.2E-2</v>
      </c>
      <c r="K33" s="104">
        <v>1.2E-2</v>
      </c>
      <c r="L33" s="104">
        <v>1.2E-2</v>
      </c>
    </row>
    <row r="34" spans="3:14" ht="15" outlineLevel="1">
      <c r="C34" s="99" t="s">
        <v>121</v>
      </c>
      <c r="G34" s="104">
        <v>0.02</v>
      </c>
      <c r="H34" s="104">
        <v>0.02</v>
      </c>
      <c r="I34" s="104">
        <v>0.02</v>
      </c>
      <c r="J34" s="104">
        <v>0.02</v>
      </c>
      <c r="K34" s="104">
        <v>0.02</v>
      </c>
      <c r="L34" s="104">
        <v>0.02</v>
      </c>
    </row>
    <row r="35" spans="3:14" ht="15" outlineLevel="1">
      <c r="C35" s="99" t="s">
        <v>123</v>
      </c>
      <c r="G35" s="104">
        <v>0.1</v>
      </c>
      <c r="H35" s="104">
        <v>0.1</v>
      </c>
      <c r="I35" s="104">
        <v>0.1</v>
      </c>
      <c r="J35" s="104">
        <v>0.1</v>
      </c>
      <c r="K35" s="104">
        <v>0.1</v>
      </c>
      <c r="L35" s="104">
        <v>0.1</v>
      </c>
    </row>
    <row r="36" spans="3:14" ht="15" outlineLevel="1">
      <c r="C36" s="99" t="s">
        <v>125</v>
      </c>
      <c r="G36" s="104">
        <v>0.05</v>
      </c>
      <c r="H36" s="104">
        <v>0.05</v>
      </c>
      <c r="I36" s="104">
        <v>0.05</v>
      </c>
      <c r="J36" s="104">
        <v>0.05</v>
      </c>
      <c r="K36" s="104">
        <v>0.05</v>
      </c>
      <c r="L36" s="104">
        <v>0.05</v>
      </c>
    </row>
    <row r="38" spans="3:14" ht="22">
      <c r="C38" s="231" t="s">
        <v>99</v>
      </c>
      <c r="D38" s="214"/>
      <c r="E38" s="214"/>
      <c r="F38" s="214"/>
      <c r="G38" s="214"/>
      <c r="H38" s="214"/>
      <c r="I38" s="214"/>
      <c r="J38" s="214"/>
      <c r="K38" s="214"/>
      <c r="L38" s="214"/>
      <c r="M38" s="214"/>
      <c r="N38" s="214"/>
    </row>
    <row r="39" spans="3:14" ht="13" customHeight="1" outlineLevel="1">
      <c r="C39" s="236"/>
      <c r="D39" s="2"/>
      <c r="E39" s="2"/>
      <c r="F39" s="2"/>
      <c r="G39" s="2"/>
      <c r="H39" s="2"/>
      <c r="I39" s="2"/>
      <c r="J39" s="2"/>
      <c r="K39" s="2"/>
      <c r="L39" s="2"/>
      <c r="M39" s="2"/>
      <c r="N39" s="2"/>
    </row>
    <row r="40" spans="3:14" ht="18" outlineLevel="1">
      <c r="C40" s="260" t="s">
        <v>99</v>
      </c>
      <c r="D40" s="240"/>
      <c r="E40" s="240"/>
      <c r="F40" s="240"/>
      <c r="G40" s="240"/>
      <c r="I40" s="260" t="s">
        <v>175</v>
      </c>
      <c r="J40" s="240"/>
      <c r="K40" s="240"/>
      <c r="L40" s="240"/>
      <c r="M40" s="240"/>
    </row>
    <row r="41" spans="3:14" ht="14.5" outlineLevel="1">
      <c r="C41" s="73" t="s">
        <v>100</v>
      </c>
      <c r="D41" s="74"/>
      <c r="E41" s="73"/>
      <c r="F41" s="75"/>
      <c r="G41" s="76">
        <v>200</v>
      </c>
      <c r="I41" t="s">
        <v>31</v>
      </c>
      <c r="M41" s="76">
        <f>'RH Financial Report'!H41</f>
        <v>3930</v>
      </c>
    </row>
    <row r="42" spans="3:14" ht="14.5" outlineLevel="1">
      <c r="C42" s="73" t="s">
        <v>101</v>
      </c>
      <c r="D42" s="73"/>
      <c r="E42" s="73"/>
      <c r="F42" s="73"/>
      <c r="G42" s="77">
        <v>0.5</v>
      </c>
      <c r="H42" s="5"/>
      <c r="I42" t="s">
        <v>129</v>
      </c>
      <c r="M42" s="76">
        <f>'RH Financial Report'!H27</f>
        <v>3110</v>
      </c>
    </row>
    <row r="43" spans="3:14" ht="16.5" outlineLevel="1">
      <c r="C43" s="78" t="s">
        <v>102</v>
      </c>
      <c r="D43" s="79"/>
      <c r="E43" s="80"/>
      <c r="F43" s="81"/>
      <c r="G43" s="82">
        <v>0.1</v>
      </c>
      <c r="H43" s="7"/>
      <c r="I43" t="s">
        <v>130</v>
      </c>
      <c r="M43" s="84">
        <v>704.95600000000002</v>
      </c>
    </row>
    <row r="44" spans="3:14" ht="14.5" outlineLevel="1">
      <c r="C44" s="73" t="s">
        <v>88</v>
      </c>
      <c r="D44" s="73"/>
      <c r="E44" s="73"/>
      <c r="F44" s="73"/>
      <c r="G44" s="77">
        <v>0.4</v>
      </c>
      <c r="H44" s="7"/>
      <c r="I44" t="s">
        <v>131</v>
      </c>
      <c r="M44" s="76">
        <v>35.020000000000003</v>
      </c>
    </row>
    <row r="45" spans="3:14" ht="14.5" outlineLevel="1">
      <c r="C45" s="73" t="s">
        <v>86</v>
      </c>
      <c r="D45" s="73"/>
      <c r="E45" s="73"/>
      <c r="F45" s="83" t="s">
        <v>103</v>
      </c>
      <c r="G45" s="84">
        <v>16</v>
      </c>
      <c r="H45" s="7"/>
    </row>
    <row r="46" spans="3:14" ht="14.5" outlineLevel="1">
      <c r="C46" s="73" t="s">
        <v>87</v>
      </c>
      <c r="D46" s="73"/>
      <c r="E46" s="73"/>
      <c r="F46" s="83" t="s">
        <v>103</v>
      </c>
      <c r="G46" s="84">
        <v>20</v>
      </c>
      <c r="H46" s="7"/>
    </row>
    <row r="47" spans="3:14" ht="14.5" outlineLevel="1">
      <c r="C47" s="6" t="s">
        <v>67</v>
      </c>
      <c r="D47" s="73"/>
      <c r="E47" s="73"/>
      <c r="F47" s="83"/>
      <c r="G47" s="82">
        <v>0.24</v>
      </c>
      <c r="H47" s="7"/>
    </row>
    <row r="48" spans="3:14" outlineLevel="1">
      <c r="H48" s="7"/>
    </row>
    <row r="49" spans="3:17" ht="18" outlineLevel="1">
      <c r="C49" s="260" t="s">
        <v>277</v>
      </c>
      <c r="D49" s="240"/>
      <c r="E49" s="240"/>
      <c r="F49" s="240"/>
      <c r="G49" s="240"/>
      <c r="H49" s="7"/>
      <c r="I49" s="260" t="s">
        <v>248</v>
      </c>
      <c r="J49" s="239"/>
      <c r="K49" s="239"/>
      <c r="L49" s="239"/>
      <c r="M49" s="239"/>
    </row>
    <row r="50" spans="3:17" ht="16.5" outlineLevel="1">
      <c r="C50" s="274" t="s">
        <v>206</v>
      </c>
      <c r="D50" s="274"/>
      <c r="F50" s="275" t="s">
        <v>306</v>
      </c>
      <c r="G50" s="276">
        <v>18</v>
      </c>
      <c r="I50" s="154" t="s">
        <v>176</v>
      </c>
      <c r="J50" s="73"/>
      <c r="K50" s="155"/>
      <c r="L50" s="100" t="s">
        <v>177</v>
      </c>
      <c r="M50" s="654">
        <v>46164</v>
      </c>
    </row>
    <row r="51" spans="3:17" ht="16.5" outlineLevel="1">
      <c r="C51" s="78" t="s">
        <v>271</v>
      </c>
      <c r="D51" s="78"/>
      <c r="F51" s="277" t="s">
        <v>272</v>
      </c>
      <c r="G51" s="278">
        <v>136.41999999999999</v>
      </c>
      <c r="I51" s="154" t="s">
        <v>178</v>
      </c>
      <c r="J51" s="73"/>
      <c r="K51" s="155"/>
      <c r="L51" s="100" t="s">
        <v>177</v>
      </c>
      <c r="M51" s="156">
        <v>46203</v>
      </c>
    </row>
    <row r="52" spans="3:17" ht="16.5" outlineLevel="1">
      <c r="C52" s="73" t="s">
        <v>273</v>
      </c>
      <c r="D52" s="73"/>
      <c r="F52" s="155"/>
      <c r="G52" s="279">
        <v>2.5000000000000001E-2</v>
      </c>
      <c r="I52" s="73" t="s">
        <v>179</v>
      </c>
      <c r="J52" s="155"/>
      <c r="K52" s="155"/>
      <c r="L52" s="100" t="s">
        <v>177</v>
      </c>
      <c r="M52" s="156">
        <v>46387</v>
      </c>
    </row>
    <row r="53" spans="3:17" ht="16.5" outlineLevel="1">
      <c r="C53" s="73" t="s">
        <v>274</v>
      </c>
      <c r="D53" s="73"/>
      <c r="F53" s="83"/>
      <c r="G53" s="280">
        <v>9</v>
      </c>
      <c r="I53" s="73" t="s">
        <v>180</v>
      </c>
      <c r="J53" s="73"/>
      <c r="K53" s="155"/>
      <c r="L53" s="100" t="s">
        <v>181</v>
      </c>
      <c r="M53" s="157">
        <f>YEAR(M52)</f>
        <v>2026</v>
      </c>
    </row>
    <row r="54" spans="3:17" ht="16.5" outlineLevel="1">
      <c r="C54" s="73" t="s">
        <v>275</v>
      </c>
      <c r="D54" s="73"/>
      <c r="F54" s="155"/>
      <c r="G54" s="281">
        <f>M96</f>
        <v>8.3031312830457948E-2</v>
      </c>
      <c r="I54" s="154" t="s">
        <v>182</v>
      </c>
      <c r="J54" s="155"/>
      <c r="K54" s="155"/>
      <c r="L54" s="155"/>
      <c r="M54" s="158">
        <f>IF(M50&gt;M51,1,0)</f>
        <v>0</v>
      </c>
    </row>
    <row r="55" spans="3:17" ht="16.5" outlineLevel="1">
      <c r="C55" s="154" t="s">
        <v>276</v>
      </c>
      <c r="D55" s="80"/>
      <c r="F55" s="81"/>
      <c r="G55" s="282">
        <f>IF(G52&lt;=G54,0,1)</f>
        <v>0</v>
      </c>
      <c r="I55" s="154" t="s">
        <v>183</v>
      </c>
      <c r="J55" s="73"/>
      <c r="K55" s="73"/>
      <c r="L55" s="155"/>
      <c r="M55" s="158">
        <f>IF(M51&gt;M52,1,0)</f>
        <v>0</v>
      </c>
    </row>
    <row r="56" spans="3:17" ht="16.5" outlineLevel="1">
      <c r="I56" s="73" t="s">
        <v>68</v>
      </c>
      <c r="J56" s="159"/>
      <c r="K56" s="159"/>
      <c r="L56" s="155"/>
      <c r="M56" s="160">
        <v>365</v>
      </c>
    </row>
    <row r="57" spans="3:17">
      <c r="E57" s="7"/>
      <c r="F57" s="7"/>
      <c r="G57" s="7"/>
    </row>
    <row r="58" spans="3:17" ht="22">
      <c r="C58" s="231" t="s">
        <v>245</v>
      </c>
      <c r="D58" s="214"/>
      <c r="E58" s="214"/>
      <c r="F58" s="214"/>
      <c r="G58" s="214"/>
      <c r="H58" s="214"/>
      <c r="I58" s="214"/>
      <c r="J58" s="214"/>
      <c r="K58" s="214"/>
      <c r="L58" s="214"/>
      <c r="M58" s="214"/>
      <c r="N58" s="214"/>
    </row>
    <row r="59" spans="3:17" ht="16.5" outlineLevel="1">
      <c r="C59" s="186"/>
      <c r="D59" s="187"/>
      <c r="E59" s="187"/>
      <c r="F59" s="187"/>
      <c r="G59" s="268"/>
      <c r="H59" s="269"/>
      <c r="I59" s="270" t="s">
        <v>209</v>
      </c>
      <c r="J59" s="271" t="s">
        <v>210</v>
      </c>
      <c r="K59" s="271" t="s">
        <v>210</v>
      </c>
      <c r="L59" s="270" t="s">
        <v>211</v>
      </c>
      <c r="M59" s="270" t="s">
        <v>212</v>
      </c>
    </row>
    <row r="60" spans="3:17" ht="16.5" outlineLevel="1" thickBot="1">
      <c r="C60" s="242" t="s">
        <v>213</v>
      </c>
      <c r="D60" s="242" t="s">
        <v>251</v>
      </c>
      <c r="E60" s="243" t="s">
        <v>214</v>
      </c>
      <c r="F60" s="242"/>
      <c r="G60" s="272" t="s">
        <v>215</v>
      </c>
      <c r="H60" s="272" t="s">
        <v>216</v>
      </c>
      <c r="I60" s="273" t="s">
        <v>217</v>
      </c>
      <c r="J60" s="272" t="s">
        <v>216</v>
      </c>
      <c r="K60" s="272" t="s">
        <v>218</v>
      </c>
      <c r="L60" s="273" t="s">
        <v>219</v>
      </c>
      <c r="M60" s="273" t="s">
        <v>220</v>
      </c>
    </row>
    <row r="61" spans="3:17" ht="16.5" outlineLevel="1">
      <c r="C61" s="93"/>
      <c r="D61" s="93"/>
      <c r="E61" s="93"/>
      <c r="F61" s="93"/>
      <c r="G61" s="241"/>
      <c r="H61" s="241"/>
      <c r="I61" s="188"/>
      <c r="J61" s="105"/>
      <c r="K61" s="105"/>
      <c r="L61" s="105"/>
      <c r="M61" s="105"/>
    </row>
    <row r="62" spans="3:17" ht="14.5" outlineLevel="1">
      <c r="C62" s="189" t="s">
        <v>253</v>
      </c>
      <c r="D62" s="189" t="s">
        <v>252</v>
      </c>
      <c r="E62" s="189" t="s">
        <v>247</v>
      </c>
      <c r="F62" s="189"/>
      <c r="G62" s="267">
        <v>580.58000000000004</v>
      </c>
      <c r="H62" s="267">
        <v>418.23</v>
      </c>
      <c r="I62" s="259">
        <v>0.26</v>
      </c>
      <c r="J62" s="190">
        <f>G62/H62</f>
        <v>1.3881835353752721</v>
      </c>
      <c r="K62" s="190">
        <f>G62/(G62+H62)</f>
        <v>0.58127171333887329</v>
      </c>
      <c r="L62" s="267">
        <v>2.42</v>
      </c>
      <c r="M62" s="191">
        <f>L62/(1+(1-I62)*J62)</f>
        <v>1.1937319309621219</v>
      </c>
      <c r="O62" s="1"/>
      <c r="P62" s="5"/>
      <c r="Q62" s="5"/>
    </row>
    <row r="63" spans="3:17" ht="14.5" outlineLevel="1">
      <c r="C63" s="189" t="s">
        <v>254</v>
      </c>
      <c r="D63" s="189" t="s">
        <v>255</v>
      </c>
      <c r="E63" s="189" t="s">
        <v>247</v>
      </c>
      <c r="F63" s="189"/>
      <c r="G63" s="267">
        <v>1461.36</v>
      </c>
      <c r="H63" s="267">
        <v>2080</v>
      </c>
      <c r="I63" s="259">
        <v>0.25</v>
      </c>
      <c r="J63" s="190">
        <f t="shared" ref="J63:J70" si="4">G63/H63</f>
        <v>0.70257692307692299</v>
      </c>
      <c r="K63" s="190">
        <f t="shared" ref="K63:K70" si="5">G63/(G63+H63)</f>
        <v>0.41265502518806335</v>
      </c>
      <c r="L63" s="267">
        <v>1.23</v>
      </c>
      <c r="M63" s="191">
        <f t="shared" ref="M63:M70" si="6">L63/(1+(1-I63)*J63)</f>
        <v>0.80553648906493036</v>
      </c>
      <c r="O63" s="6"/>
      <c r="P63" s="4"/>
      <c r="Q63" s="4"/>
    </row>
    <row r="64" spans="3:17" ht="14.5" outlineLevel="1">
      <c r="C64" s="189" t="s">
        <v>256</v>
      </c>
      <c r="D64" s="189" t="s">
        <v>257</v>
      </c>
      <c r="E64" s="189" t="s">
        <v>247</v>
      </c>
      <c r="F64" s="189"/>
      <c r="G64" s="267">
        <v>124.35</v>
      </c>
      <c r="H64" s="267">
        <v>482.27</v>
      </c>
      <c r="I64" s="259">
        <v>0.24</v>
      </c>
      <c r="J64" s="190">
        <f t="shared" si="4"/>
        <v>0.25784311692620315</v>
      </c>
      <c r="K64" s="190">
        <f t="shared" si="5"/>
        <v>0.20498829580297384</v>
      </c>
      <c r="L64" s="267">
        <v>1.04</v>
      </c>
      <c r="M64" s="191">
        <f t="shared" si="6"/>
        <v>0.86959374176456716</v>
      </c>
      <c r="O64" s="6"/>
      <c r="P64" s="4"/>
      <c r="Q64" s="4"/>
    </row>
    <row r="65" spans="3:17" ht="14.5" outlineLevel="1">
      <c r="C65" s="189" t="s">
        <v>258</v>
      </c>
      <c r="D65" s="189" t="s">
        <v>259</v>
      </c>
      <c r="E65" s="189" t="s">
        <v>247</v>
      </c>
      <c r="F65" s="6"/>
      <c r="G65" s="267">
        <v>490.86</v>
      </c>
      <c r="H65" s="267">
        <v>1030</v>
      </c>
      <c r="I65" s="259">
        <v>0.25</v>
      </c>
      <c r="J65" s="190">
        <f t="shared" si="4"/>
        <v>0.47656310679611652</v>
      </c>
      <c r="K65" s="190">
        <f t="shared" si="5"/>
        <v>0.32275160106781686</v>
      </c>
      <c r="L65" s="267">
        <v>1.26</v>
      </c>
      <c r="M65" s="191">
        <f t="shared" si="6"/>
        <v>0.92822990462362631</v>
      </c>
      <c r="O65" s="6"/>
      <c r="P65" s="4"/>
      <c r="Q65" s="4"/>
    </row>
    <row r="66" spans="3:17" ht="14.5" outlineLevel="1">
      <c r="C66" s="189" t="s">
        <v>260</v>
      </c>
      <c r="D66" s="189" t="s">
        <v>261</v>
      </c>
      <c r="E66" s="189" t="s">
        <v>247</v>
      </c>
      <c r="F66" s="6"/>
      <c r="G66" s="267">
        <v>216.42</v>
      </c>
      <c r="H66" s="267">
        <v>307.93</v>
      </c>
      <c r="I66" s="259">
        <v>0.26</v>
      </c>
      <c r="J66" s="190">
        <f t="shared" si="4"/>
        <v>0.70282206995096286</v>
      </c>
      <c r="K66" s="190">
        <f t="shared" si="5"/>
        <v>0.41273958234003999</v>
      </c>
      <c r="L66" s="267">
        <v>1.49</v>
      </c>
      <c r="M66" s="191">
        <f t="shared" si="6"/>
        <v>0.98020619516972296</v>
      </c>
      <c r="O66" s="6"/>
      <c r="P66" s="4"/>
      <c r="Q66" s="4"/>
    </row>
    <row r="67" spans="3:17" ht="14.5" outlineLevel="1">
      <c r="C67" s="189" t="s">
        <v>262</v>
      </c>
      <c r="D67" s="189" t="s">
        <v>263</v>
      </c>
      <c r="E67" s="189" t="s">
        <v>247</v>
      </c>
      <c r="F67" s="6"/>
      <c r="G67" s="267">
        <v>1810</v>
      </c>
      <c r="H67" s="267">
        <v>1340</v>
      </c>
      <c r="I67" s="259">
        <v>0.24</v>
      </c>
      <c r="J67" s="190">
        <f t="shared" si="4"/>
        <v>1.3507462686567164</v>
      </c>
      <c r="K67" s="190">
        <f t="shared" si="5"/>
        <v>0.57460317460317456</v>
      </c>
      <c r="L67" s="267">
        <v>1.1599999999999999</v>
      </c>
      <c r="M67" s="191">
        <f t="shared" si="6"/>
        <v>0.57239652378848127</v>
      </c>
      <c r="O67" s="6"/>
      <c r="P67" s="4"/>
      <c r="Q67" s="4"/>
    </row>
    <row r="68" spans="3:17" ht="14.5" outlineLevel="1">
      <c r="C68" s="189" t="s">
        <v>264</v>
      </c>
      <c r="D68" s="189" t="s">
        <v>265</v>
      </c>
      <c r="E68" s="189" t="s">
        <v>247</v>
      </c>
      <c r="F68" s="6"/>
      <c r="G68" s="267">
        <v>28.14</v>
      </c>
      <c r="H68" s="267">
        <v>169.24</v>
      </c>
      <c r="I68" s="259">
        <v>0.24</v>
      </c>
      <c r="J68" s="190">
        <f t="shared" si="4"/>
        <v>0.1662727487591586</v>
      </c>
      <c r="K68" s="190">
        <f t="shared" si="5"/>
        <v>0.14256763603201947</v>
      </c>
      <c r="L68" s="267">
        <v>0.77</v>
      </c>
      <c r="M68" s="191">
        <f t="shared" si="6"/>
        <v>0.68361360231321588</v>
      </c>
      <c r="O68" s="6"/>
      <c r="P68" s="4"/>
      <c r="Q68" s="4"/>
    </row>
    <row r="69" spans="3:17" ht="14.5" outlineLevel="1">
      <c r="C69" s="189" t="s">
        <v>266</v>
      </c>
      <c r="D69" s="189" t="s">
        <v>267</v>
      </c>
      <c r="E69" s="189" t="s">
        <v>247</v>
      </c>
      <c r="F69" s="6"/>
      <c r="G69" s="267">
        <v>1660</v>
      </c>
      <c r="H69" s="267">
        <v>1020</v>
      </c>
      <c r="I69" s="259">
        <v>0.23</v>
      </c>
      <c r="J69" s="190">
        <f t="shared" si="4"/>
        <v>1.6274509803921569</v>
      </c>
      <c r="K69" s="190">
        <f t="shared" si="5"/>
        <v>0.61940298507462688</v>
      </c>
      <c r="L69" s="267">
        <v>1.41</v>
      </c>
      <c r="M69" s="191">
        <f t="shared" si="6"/>
        <v>0.62579409973022371</v>
      </c>
      <c r="O69" s="6"/>
      <c r="P69" s="4"/>
      <c r="Q69" s="4"/>
    </row>
    <row r="70" spans="3:17" ht="14.5" outlineLevel="1">
      <c r="C70" s="189" t="s">
        <v>268</v>
      </c>
      <c r="D70" s="189" t="s">
        <v>269</v>
      </c>
      <c r="E70" s="189" t="s">
        <v>247</v>
      </c>
      <c r="F70" s="6"/>
      <c r="G70" s="267">
        <v>89.39</v>
      </c>
      <c r="H70" s="267">
        <v>165.11</v>
      </c>
      <c r="I70" s="259">
        <v>0.24</v>
      </c>
      <c r="J70" s="190">
        <f t="shared" si="4"/>
        <v>0.54139664466113491</v>
      </c>
      <c r="K70" s="190">
        <f t="shared" si="5"/>
        <v>0.35123772102161099</v>
      </c>
      <c r="L70" s="267">
        <v>0.74</v>
      </c>
      <c r="M70" s="191">
        <f t="shared" si="6"/>
        <v>0.52427928515523092</v>
      </c>
      <c r="O70" s="6"/>
      <c r="P70" s="4"/>
      <c r="Q70" s="4"/>
    </row>
    <row r="71" spans="3:17" ht="14.5" outlineLevel="1">
      <c r="C71" s="1"/>
      <c r="D71" s="1"/>
      <c r="E71" s="5"/>
      <c r="F71" s="5"/>
      <c r="G71" s="5"/>
      <c r="H71" s="5"/>
      <c r="I71" s="25"/>
      <c r="J71" s="25"/>
      <c r="K71" s="25"/>
      <c r="L71" s="25"/>
      <c r="M71" s="25"/>
      <c r="O71" s="6"/>
      <c r="P71" s="6"/>
      <c r="Q71" s="4"/>
    </row>
    <row r="72" spans="3:17" ht="15" outlineLevel="1">
      <c r="C72" s="106"/>
      <c r="D72" s="11"/>
      <c r="E72" s="11"/>
      <c r="F72" s="11"/>
      <c r="G72" s="9"/>
      <c r="H72" s="244" t="s">
        <v>209</v>
      </c>
      <c r="I72" s="245">
        <f>AVERAGE(I62:I70)</f>
        <v>0.24555555555555555</v>
      </c>
      <c r="J72" s="246">
        <f>AVERAGE(J62:J70)</f>
        <v>0.8015394882882938</v>
      </c>
      <c r="K72" s="246">
        <f>AVERAGE(K62:K70)</f>
        <v>0.40246863716324438</v>
      </c>
      <c r="L72" s="247">
        <f>AVERAGE(L62:L65)</f>
        <v>1.4874999999999998</v>
      </c>
      <c r="M72" s="247">
        <f>AVERAGE(M62:M70)</f>
        <v>0.79815353028579117</v>
      </c>
    </row>
    <row r="73" spans="3:17" ht="15" outlineLevel="1">
      <c r="C73" s="106"/>
      <c r="D73" s="11"/>
      <c r="E73" s="11"/>
      <c r="F73" s="11"/>
      <c r="G73" s="9"/>
      <c r="H73" s="248" t="s">
        <v>221</v>
      </c>
      <c r="I73" s="249">
        <f>MEDIAN(I62:I65)</f>
        <v>0.25</v>
      </c>
      <c r="J73" s="250">
        <f>MEDIAN(J62:J65)</f>
        <v>0.58957001493651973</v>
      </c>
      <c r="K73" s="250">
        <f>MEDIAN(K62:K65)</f>
        <v>0.36770331312794013</v>
      </c>
      <c r="L73" s="251">
        <f>MEDIAN(L62:L65)</f>
        <v>1.2450000000000001</v>
      </c>
      <c r="M73" s="251">
        <f>MEDIAN(M62:M65)</f>
        <v>0.89891182319409668</v>
      </c>
    </row>
    <row r="74" spans="3:17" ht="15" outlineLevel="1">
      <c r="C74" s="106"/>
      <c r="D74" s="11"/>
      <c r="E74" s="11"/>
      <c r="F74" s="11"/>
      <c r="G74" s="9"/>
      <c r="H74" s="9"/>
      <c r="I74" s="192"/>
      <c r="J74" s="193"/>
      <c r="K74" s="193"/>
      <c r="L74" s="194"/>
      <c r="M74" s="194"/>
    </row>
    <row r="75" spans="3:17" ht="16.5" outlineLevel="1">
      <c r="C75" s="252" t="s">
        <v>249</v>
      </c>
      <c r="D75" s="253"/>
      <c r="E75" s="253"/>
      <c r="F75" s="253"/>
      <c r="G75" s="254"/>
      <c r="H75" s="105"/>
      <c r="I75" s="252" t="s">
        <v>222</v>
      </c>
      <c r="J75" s="255"/>
      <c r="K75" s="253"/>
      <c r="L75" s="255"/>
      <c r="M75" s="254"/>
    </row>
    <row r="76" spans="3:17" ht="16.5" outlineLevel="1">
      <c r="C76" s="195"/>
      <c r="D76" s="195"/>
      <c r="E76" s="195"/>
      <c r="F76" s="195"/>
      <c r="G76" s="195"/>
      <c r="H76" s="91"/>
      <c r="I76" s="195"/>
      <c r="J76" s="195"/>
      <c r="K76" s="195"/>
      <c r="L76" s="195"/>
      <c r="M76" s="195"/>
    </row>
    <row r="77" spans="3:17" ht="16.5" outlineLevel="1">
      <c r="C77" s="14" t="s">
        <v>223</v>
      </c>
      <c r="D77" s="105"/>
      <c r="E77" s="195"/>
      <c r="F77" s="195"/>
      <c r="G77" s="196">
        <v>4.7E-2</v>
      </c>
      <c r="H77" s="91"/>
      <c r="I77" s="14" t="s">
        <v>224</v>
      </c>
      <c r="J77" s="105"/>
      <c r="K77" s="105"/>
      <c r="L77" s="105"/>
      <c r="M77" s="196">
        <v>4.5999999999999999E-2</v>
      </c>
    </row>
    <row r="78" spans="3:17" ht="16.5" outlineLevel="1">
      <c r="C78" s="14" t="s">
        <v>225</v>
      </c>
      <c r="D78" s="105"/>
      <c r="E78" s="105"/>
      <c r="F78" s="105"/>
      <c r="G78" s="174">
        <f>M72</f>
        <v>0.79815353028579117</v>
      </c>
      <c r="H78" s="179"/>
      <c r="I78" s="14" t="s">
        <v>226</v>
      </c>
      <c r="J78" s="105"/>
      <c r="K78" s="91"/>
      <c r="L78" s="105"/>
      <c r="M78" s="197">
        <f>G80</f>
        <v>8.0278282076144861E-2</v>
      </c>
    </row>
    <row r="79" spans="3:17" ht="16.5" outlineLevel="1">
      <c r="C79" s="198" t="s">
        <v>227</v>
      </c>
      <c r="D79" s="105"/>
      <c r="E79" s="105"/>
      <c r="F79" s="105"/>
      <c r="G79" s="199">
        <f>G78*(1+(1-M85)*G89)</f>
        <v>1.7080485548115929</v>
      </c>
      <c r="H79" s="179"/>
      <c r="I79" s="14" t="s">
        <v>228</v>
      </c>
      <c r="J79" s="105"/>
      <c r="K79" s="105"/>
      <c r="L79" s="105"/>
      <c r="M79" s="200">
        <v>1.5E-3</v>
      </c>
    </row>
    <row r="80" spans="3:17" ht="16.5" outlineLevel="1">
      <c r="C80" s="14" t="s">
        <v>226</v>
      </c>
      <c r="D80" s="105"/>
      <c r="E80" s="105"/>
      <c r="F80" s="105"/>
      <c r="G80" s="197">
        <f>G79*G77</f>
        <v>8.0278282076144861E-2</v>
      </c>
      <c r="H80" s="179"/>
      <c r="I80" s="14" t="s">
        <v>222</v>
      </c>
      <c r="J80" s="105"/>
      <c r="K80" s="91"/>
      <c r="L80" s="105"/>
      <c r="M80" s="197">
        <f>SUM(M77:M79)</f>
        <v>0.12777828207614486</v>
      </c>
    </row>
    <row r="81" spans="3:13" ht="16.5" outlineLevel="1">
      <c r="C81" s="91"/>
      <c r="D81" s="91"/>
      <c r="E81" s="91"/>
      <c r="F81" s="91"/>
      <c r="G81" s="91"/>
      <c r="H81" s="185"/>
      <c r="I81" s="91"/>
      <c r="J81" s="91"/>
      <c r="K81" s="91"/>
      <c r="L81" s="91"/>
      <c r="M81" s="91"/>
    </row>
    <row r="82" spans="3:13" ht="16.5" outlineLevel="1">
      <c r="C82" s="252" t="s">
        <v>229</v>
      </c>
      <c r="D82" s="253"/>
      <c r="E82" s="253"/>
      <c r="F82" s="256"/>
      <c r="G82" s="256"/>
      <c r="H82" s="185"/>
      <c r="I82" s="252" t="s">
        <v>230</v>
      </c>
      <c r="J82" s="253"/>
      <c r="K82" s="253"/>
      <c r="L82" s="253"/>
      <c r="M82" s="254"/>
    </row>
    <row r="83" spans="3:13" ht="16.5" outlineLevel="1">
      <c r="C83" s="105"/>
      <c r="D83" s="195"/>
      <c r="E83" s="195"/>
      <c r="F83" s="195"/>
      <c r="G83" s="195"/>
      <c r="H83" s="185"/>
      <c r="I83" s="195"/>
      <c r="J83" s="195"/>
      <c r="K83" s="195"/>
      <c r="L83" s="195"/>
      <c r="M83" s="195"/>
    </row>
    <row r="84" spans="3:13" ht="17" outlineLevel="1" thickBot="1">
      <c r="C84" s="106"/>
      <c r="D84" s="105"/>
      <c r="E84" s="105"/>
      <c r="F84" s="201" t="s">
        <v>231</v>
      </c>
      <c r="G84" s="201" t="s">
        <v>232</v>
      </c>
      <c r="H84" s="185"/>
      <c r="I84" s="14" t="s">
        <v>270</v>
      </c>
      <c r="J84" s="91"/>
      <c r="K84" s="105"/>
      <c r="L84" s="91"/>
      <c r="M84" s="196">
        <v>7.0000000000000007E-2</v>
      </c>
    </row>
    <row r="85" spans="3:13" ht="16.5" outlineLevel="1">
      <c r="C85" s="14" t="s">
        <v>30</v>
      </c>
      <c r="D85" s="91"/>
      <c r="E85" s="160">
        <f>'RH Financial Report'!H40</f>
        <v>3970</v>
      </c>
      <c r="F85" s="197">
        <f>E85/E87</f>
        <v>0.60610687022900767</v>
      </c>
      <c r="G85" s="196">
        <v>0.6</v>
      </c>
      <c r="H85" s="179"/>
      <c r="I85" s="14" t="s">
        <v>140</v>
      </c>
      <c r="J85" s="105"/>
      <c r="K85" s="105"/>
      <c r="L85" s="105"/>
      <c r="M85" s="266">
        <f>'DCF Inputs'!G47</f>
        <v>0.24</v>
      </c>
    </row>
    <row r="86" spans="3:13" ht="16.5" outlineLevel="1">
      <c r="C86" s="14" t="s">
        <v>233</v>
      </c>
      <c r="D86" s="105"/>
      <c r="E86" s="202">
        <v>2580</v>
      </c>
      <c r="F86" s="203">
        <f>E86/E87</f>
        <v>0.39389312977099239</v>
      </c>
      <c r="G86" s="203">
        <f>1-G85</f>
        <v>0.4</v>
      </c>
      <c r="H86" s="179"/>
      <c r="I86" s="14" t="s">
        <v>234</v>
      </c>
      <c r="J86" s="105"/>
      <c r="K86" s="105"/>
      <c r="L86" s="105"/>
      <c r="M86" s="197">
        <f>M84*(1-M85)</f>
        <v>5.3200000000000004E-2</v>
      </c>
    </row>
    <row r="87" spans="3:13" ht="16.5" outlineLevel="1">
      <c r="C87" s="14" t="s">
        <v>235</v>
      </c>
      <c r="D87" s="105"/>
      <c r="E87" s="204">
        <f>SUM(E85:E86)</f>
        <v>6550</v>
      </c>
      <c r="F87" s="197">
        <f>SUM(F85:F86)</f>
        <v>1</v>
      </c>
      <c r="G87" s="197">
        <f>SUM(G85:G86)</f>
        <v>1</v>
      </c>
      <c r="H87" s="179"/>
      <c r="I87" s="105"/>
      <c r="J87" s="105"/>
      <c r="K87" s="105"/>
      <c r="L87" s="105"/>
      <c r="M87" s="105"/>
    </row>
    <row r="88" spans="3:13" ht="16.5" outlineLevel="1">
      <c r="C88" s="105"/>
      <c r="D88" s="105"/>
      <c r="E88" s="105"/>
      <c r="F88" s="105"/>
      <c r="G88" s="9"/>
      <c r="H88" s="185"/>
      <c r="I88" s="105"/>
      <c r="J88" s="105"/>
      <c r="K88" s="105"/>
      <c r="L88" s="105"/>
      <c r="M88" s="105"/>
    </row>
    <row r="89" spans="3:13" ht="16.5" outlineLevel="1">
      <c r="C89" s="205" t="s">
        <v>236</v>
      </c>
      <c r="D89" s="206"/>
      <c r="E89" s="206"/>
      <c r="F89" s="207">
        <f>F85/F86</f>
        <v>1.5387596899224807</v>
      </c>
      <c r="G89" s="207">
        <f>G85/G86</f>
        <v>1.4999999999999998</v>
      </c>
      <c r="H89" s="179"/>
      <c r="I89" s="252" t="s">
        <v>208</v>
      </c>
      <c r="J89" s="255"/>
      <c r="K89" s="253"/>
      <c r="L89" s="254"/>
      <c r="M89" s="253"/>
    </row>
    <row r="90" spans="3:13" ht="16.5" outlineLevel="1">
      <c r="C90" s="93"/>
      <c r="D90" s="105"/>
      <c r="E90" s="105"/>
      <c r="F90" s="105"/>
      <c r="G90" s="105"/>
      <c r="H90" s="11"/>
      <c r="I90" s="195"/>
      <c r="J90" s="195"/>
      <c r="K90" s="195"/>
      <c r="L90" s="195"/>
      <c r="M90" s="195"/>
    </row>
    <row r="91" spans="3:13" ht="17" outlineLevel="1" thickBot="1">
      <c r="C91" s="116"/>
      <c r="D91" s="105"/>
      <c r="E91" s="105"/>
      <c r="F91" s="105"/>
      <c r="G91" s="105"/>
      <c r="H91" s="11"/>
      <c r="I91" s="91"/>
      <c r="J91" s="91"/>
      <c r="K91" s="91"/>
      <c r="L91" s="257" t="s">
        <v>237</v>
      </c>
      <c r="M91" s="257" t="s">
        <v>238</v>
      </c>
    </row>
    <row r="92" spans="3:13" ht="16.5" outlineLevel="1">
      <c r="C92" s="208" t="s">
        <v>239</v>
      </c>
      <c r="D92" s="91"/>
      <c r="E92" s="209"/>
      <c r="F92" s="209"/>
      <c r="G92" s="209"/>
      <c r="H92" s="105"/>
      <c r="I92" s="14" t="s">
        <v>240</v>
      </c>
      <c r="J92" s="105"/>
      <c r="K92" s="179"/>
      <c r="L92" s="197">
        <f>G85</f>
        <v>0.6</v>
      </c>
      <c r="M92" s="197">
        <f>M86</f>
        <v>5.3200000000000004E-2</v>
      </c>
    </row>
    <row r="93" spans="3:13" ht="16.5" outlineLevel="1">
      <c r="C93" s="210" t="s">
        <v>241</v>
      </c>
      <c r="D93" s="91"/>
      <c r="E93" s="209"/>
      <c r="F93" s="209"/>
      <c r="G93" s="209"/>
      <c r="H93" s="105"/>
      <c r="I93" s="14" t="s">
        <v>242</v>
      </c>
      <c r="J93" s="105"/>
      <c r="K93" s="179"/>
      <c r="L93" s="197">
        <f>G86</f>
        <v>0.4</v>
      </c>
      <c r="M93" s="197">
        <f>M80</f>
        <v>0.12777828207614486</v>
      </c>
    </row>
    <row r="94" spans="3:13" ht="16.5" outlineLevel="1">
      <c r="C94" s="211" t="s">
        <v>243</v>
      </c>
      <c r="D94" s="105"/>
      <c r="E94" s="105"/>
      <c r="F94" s="105"/>
      <c r="G94" s="105"/>
      <c r="H94" s="105"/>
      <c r="I94" s="105"/>
      <c r="J94" s="105"/>
      <c r="K94" s="105"/>
      <c r="L94" s="105"/>
      <c r="M94" s="105"/>
    </row>
    <row r="95" spans="3:13" ht="16.5" outlineLevel="1">
      <c r="C95" s="212" t="s">
        <v>244</v>
      </c>
      <c r="D95" s="105"/>
      <c r="E95" s="105"/>
      <c r="F95" s="105"/>
      <c r="G95" s="105"/>
      <c r="H95" s="105"/>
      <c r="I95" s="91"/>
      <c r="J95" s="91"/>
      <c r="K95" s="91"/>
      <c r="L95" s="91"/>
      <c r="M95" s="91"/>
    </row>
    <row r="96" spans="3:13" ht="17" outlineLevel="1" thickBot="1">
      <c r="C96" s="87"/>
      <c r="D96" s="91"/>
      <c r="E96" s="91"/>
      <c r="F96" s="91"/>
      <c r="G96" s="91"/>
      <c r="H96" s="91"/>
      <c r="I96" s="14" t="s">
        <v>208</v>
      </c>
      <c r="J96" s="105"/>
      <c r="K96" s="105"/>
      <c r="L96" s="91"/>
      <c r="M96" s="258">
        <f>SUMPRODUCT(L92:L93,M92:M93)</f>
        <v>8.3031312830457948E-2</v>
      </c>
    </row>
    <row r="97" spans="3:5" ht="14.5" thickTop="1"/>
    <row r="105" spans="3:5">
      <c r="C105" s="1"/>
      <c r="D105" s="1"/>
      <c r="E105" s="1"/>
    </row>
    <row r="106" spans="3:5">
      <c r="C106" s="6"/>
      <c r="D106" s="6"/>
      <c r="E106" s="6"/>
    </row>
    <row r="107" spans="3:5">
      <c r="C107" s="6"/>
      <c r="D107" s="6"/>
      <c r="E107" s="6"/>
    </row>
    <row r="108" spans="3:5">
      <c r="C108" s="6"/>
      <c r="D108" s="6"/>
      <c r="E108" s="6"/>
    </row>
    <row r="109" spans="3:5">
      <c r="C109" s="6"/>
      <c r="D109" s="6"/>
      <c r="E109" s="6"/>
    </row>
    <row r="110" spans="3:5">
      <c r="C110" s="6"/>
      <c r="D110" s="6"/>
      <c r="E110" s="6"/>
    </row>
    <row r="111" spans="3:5">
      <c r="C111" s="6"/>
      <c r="D111" s="6"/>
      <c r="E111" s="6"/>
    </row>
    <row r="112" spans="3:5">
      <c r="C112" s="6"/>
      <c r="D112" s="6"/>
      <c r="E112" s="6"/>
    </row>
    <row r="113" spans="3:5">
      <c r="C113" s="6"/>
      <c r="D113" s="6"/>
      <c r="E113" s="6"/>
    </row>
    <row r="114" spans="3:5">
      <c r="C114" s="6"/>
      <c r="D114" s="6"/>
      <c r="E114" s="6"/>
    </row>
    <row r="115" spans="3:5">
      <c r="C115" s="6"/>
      <c r="D115" s="6"/>
      <c r="E115" s="6"/>
    </row>
  </sheetData>
  <phoneticPr fontId="1" type="noConversion"/>
  <conditionalFormatting sqref="M54:M55">
    <cfRule type="expression" dxfId="2" priority="1">
      <formula>M54=1</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6" r:id="rId3" name="Drop Down 4">
              <controlPr defaultSize="0" autoLine="0" autoPict="0">
                <anchor moveWithCells="1">
                  <from>
                    <xdr:col>3</xdr:col>
                    <xdr:colOff>101600</xdr:colOff>
                    <xdr:row>2</xdr:row>
                    <xdr:rowOff>158750</xdr:rowOff>
                  </from>
                  <to>
                    <xdr:col>4</xdr:col>
                    <xdr:colOff>127000</xdr:colOff>
                    <xdr:row>4</xdr:row>
                    <xdr:rowOff>38100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035E-E84F-4469-BEC0-7A702E017B5A}">
  <sheetPr codeName="Sheet4"/>
  <dimension ref="A2:U320"/>
  <sheetViews>
    <sheetView showGridLines="0" topLeftCell="A140" zoomScale="99" zoomScaleNormal="115" workbookViewId="0">
      <selection activeCell="F176" sqref="F176"/>
    </sheetView>
  </sheetViews>
  <sheetFormatPr defaultRowHeight="14" outlineLevelRow="1"/>
  <cols>
    <col min="2" max="2" width="31.25" customWidth="1"/>
    <col min="3" max="5" width="8.75" bestFit="1" customWidth="1"/>
    <col min="6" max="6" width="11.08203125" customWidth="1"/>
    <col min="7" max="7" width="10.4140625" customWidth="1"/>
    <col min="8" max="10" width="8.9140625" bestFit="1" customWidth="1"/>
    <col min="11" max="11" width="10.6640625" customWidth="1"/>
    <col min="12" max="12" width="11.9140625" customWidth="1"/>
    <col min="13" max="13" width="11" customWidth="1"/>
    <col min="14" max="14" width="10" customWidth="1"/>
    <col min="15" max="15" width="9.4140625" customWidth="1"/>
    <col min="16" max="16" width="8.58203125" customWidth="1"/>
    <col min="17" max="17" width="8.9140625" bestFit="1" customWidth="1"/>
  </cols>
  <sheetData>
    <row r="2" spans="1:20" s="2" customFormat="1" ht="22">
      <c r="A2"/>
      <c r="B2" s="653" t="s">
        <v>373</v>
      </c>
      <c r="C2" s="214"/>
      <c r="D2" s="214"/>
      <c r="E2" s="214"/>
      <c r="F2" s="214"/>
      <c r="G2" s="214"/>
      <c r="H2" s="214"/>
      <c r="I2" s="214"/>
      <c r="J2" s="214"/>
      <c r="K2" s="214"/>
      <c r="L2" s="214"/>
      <c r="M2" s="214"/>
      <c r="N2" s="214"/>
      <c r="O2" s="214"/>
      <c r="P2" s="214"/>
      <c r="Q2" s="214"/>
    </row>
    <row r="3" spans="1:20" s="2" customFormat="1">
      <c r="A3"/>
    </row>
    <row r="4" spans="1:20" s="2" customFormat="1" ht="14.5" outlineLevel="1" thickBot="1">
      <c r="A4"/>
      <c r="B4" s="106" t="s">
        <v>324</v>
      </c>
      <c r="F4" s="232">
        <v>2020</v>
      </c>
      <c r="G4" s="232">
        <f>F4+1</f>
        <v>2021</v>
      </c>
      <c r="H4" s="232">
        <f t="shared" ref="H4:P4" si="0">G4+1</f>
        <v>2022</v>
      </c>
      <c r="I4" s="232">
        <f t="shared" si="0"/>
        <v>2023</v>
      </c>
      <c r="J4" s="232">
        <f t="shared" si="0"/>
        <v>2024</v>
      </c>
      <c r="K4" s="232">
        <f t="shared" si="0"/>
        <v>2025</v>
      </c>
      <c r="L4" s="233">
        <f t="shared" si="0"/>
        <v>2026</v>
      </c>
      <c r="M4" s="233">
        <f t="shared" si="0"/>
        <v>2027</v>
      </c>
      <c r="N4" s="233">
        <f t="shared" si="0"/>
        <v>2028</v>
      </c>
      <c r="O4" s="233">
        <f t="shared" si="0"/>
        <v>2029</v>
      </c>
      <c r="P4" s="233">
        <f t="shared" si="0"/>
        <v>2030</v>
      </c>
      <c r="Q4" s="234" t="s">
        <v>69</v>
      </c>
    </row>
    <row r="5" spans="1:20" s="2" customFormat="1" outlineLevel="1">
      <c r="A5"/>
      <c r="F5" s="29"/>
      <c r="G5" s="29"/>
      <c r="H5" s="29"/>
      <c r="I5" s="29"/>
      <c r="J5" s="29"/>
      <c r="K5" s="29"/>
      <c r="L5" s="30"/>
      <c r="M5" s="30"/>
      <c r="N5" s="30"/>
      <c r="O5" s="30"/>
      <c r="P5" s="30"/>
      <c r="Q5" s="31"/>
    </row>
    <row r="6" spans="1:20" s="2" customFormat="1" ht="15" outlineLevel="1">
      <c r="A6"/>
      <c r="B6" s="14" t="s">
        <v>58</v>
      </c>
      <c r="F6" s="36"/>
      <c r="G6" s="283">
        <v>0.31929824561403519</v>
      </c>
      <c r="H6" s="283">
        <v>-4.5212765957446832E-2</v>
      </c>
      <c r="I6" s="283">
        <v>-0.15598885793871864</v>
      </c>
      <c r="J6" s="283">
        <v>4.9504950495049549E-2</v>
      </c>
      <c r="K6" s="283">
        <v>8.1761006289308158E-2</v>
      </c>
      <c r="L6" s="27">
        <f>'DCF Inputs'!G7</f>
        <v>0.05</v>
      </c>
      <c r="M6" s="27">
        <f>'DCF Inputs'!H7</f>
        <v>0.04</v>
      </c>
      <c r="N6" s="27">
        <f>'DCF Inputs'!I7</f>
        <v>3.5000000000000003E-2</v>
      </c>
      <c r="O6" s="27">
        <f>'DCF Inputs'!J7</f>
        <v>3.5000000000000003E-2</v>
      </c>
      <c r="P6" s="27">
        <f>'DCF Inputs'!K7</f>
        <v>0.05</v>
      </c>
      <c r="Q6" s="27">
        <f>'DCF Inputs'!L7</f>
        <v>0.05</v>
      </c>
    </row>
    <row r="7" spans="1:20" s="2" customFormat="1" ht="15" outlineLevel="1">
      <c r="A7"/>
      <c r="B7" s="14" t="s">
        <v>70</v>
      </c>
      <c r="F7" s="38">
        <v>2850</v>
      </c>
      <c r="G7" s="38">
        <v>3760</v>
      </c>
      <c r="H7" s="38">
        <v>3590</v>
      </c>
      <c r="I7" s="38">
        <v>3030</v>
      </c>
      <c r="J7" s="38">
        <v>3180</v>
      </c>
      <c r="K7" s="38">
        <v>3440</v>
      </c>
      <c r="L7" s="28">
        <f>K7*(1+L6)</f>
        <v>3612</v>
      </c>
      <c r="M7" s="28">
        <f t="shared" ref="M7:Q7" si="1">L7*(1+M6)</f>
        <v>3756.48</v>
      </c>
      <c r="N7" s="28">
        <f t="shared" si="1"/>
        <v>3887.9567999999999</v>
      </c>
      <c r="O7" s="28">
        <f t="shared" si="1"/>
        <v>4024.0352879999996</v>
      </c>
      <c r="P7" s="28">
        <f t="shared" si="1"/>
        <v>4225.2370523999998</v>
      </c>
      <c r="Q7" s="28">
        <f t="shared" si="1"/>
        <v>4436.4989050200002</v>
      </c>
    </row>
    <row r="8" spans="1:20" s="2" customFormat="1" ht="15" outlineLevel="1">
      <c r="A8"/>
      <c r="B8" s="14"/>
      <c r="F8" s="37"/>
      <c r="G8" s="37"/>
      <c r="H8" s="37"/>
      <c r="I8" s="37"/>
      <c r="J8" s="37"/>
      <c r="K8" s="37"/>
    </row>
    <row r="9" spans="1:20" s="2" customFormat="1" ht="15" outlineLevel="1">
      <c r="A9"/>
      <c r="B9" s="14" t="s">
        <v>65</v>
      </c>
      <c r="F9" s="283">
        <v>-0.53333333333333333</v>
      </c>
      <c r="G9" s="283">
        <v>-0.50531914893617025</v>
      </c>
      <c r="H9" s="283">
        <v>-0.49582172701949861</v>
      </c>
      <c r="I9" s="283">
        <v>-0.54125412541254125</v>
      </c>
      <c r="J9" s="283">
        <v>-0.55660377358490565</v>
      </c>
      <c r="K9" s="283">
        <v>-0.55813953488372092</v>
      </c>
      <c r="L9" s="27">
        <f>'DCF Inputs'!G14</f>
        <v>0.55500000000000005</v>
      </c>
      <c r="M9" s="27">
        <f>'DCF Inputs'!H14</f>
        <v>0.55300000000000005</v>
      </c>
      <c r="N9" s="27">
        <f>'DCF Inputs'!I14</f>
        <v>0.55000000000000004</v>
      </c>
      <c r="O9" s="27">
        <f>'DCF Inputs'!J14</f>
        <v>0.54800000000000004</v>
      </c>
      <c r="P9" s="27">
        <f>'DCF Inputs'!K14</f>
        <v>0.54500000000000004</v>
      </c>
      <c r="Q9" s="27">
        <f>'DCF Inputs'!L14</f>
        <v>0.52249999999999996</v>
      </c>
    </row>
    <row r="10" spans="1:20" s="2" customFormat="1" ht="15" outlineLevel="1">
      <c r="A10"/>
      <c r="B10" s="14" t="s">
        <v>71</v>
      </c>
      <c r="F10" s="38">
        <v>1520</v>
      </c>
      <c r="G10" s="38">
        <v>1900</v>
      </c>
      <c r="H10" s="38">
        <v>1780</v>
      </c>
      <c r="I10" s="38">
        <v>1640</v>
      </c>
      <c r="J10" s="38">
        <v>1770</v>
      </c>
      <c r="K10" s="38">
        <v>1920</v>
      </c>
      <c r="L10" s="28">
        <f>L7*L9</f>
        <v>2004.66</v>
      </c>
      <c r="M10" s="28">
        <f t="shared" ref="M10:P10" si="2">M7*M9</f>
        <v>2077.3334400000003</v>
      </c>
      <c r="N10" s="28">
        <f t="shared" si="2"/>
        <v>2138.3762400000001</v>
      </c>
      <c r="O10" s="28">
        <f t="shared" si="2"/>
        <v>2205.1713378240001</v>
      </c>
      <c r="P10" s="28">
        <f t="shared" si="2"/>
        <v>2302.7541935580002</v>
      </c>
      <c r="Q10" s="28">
        <f t="shared" ref="Q10" si="3">Q7*Q9</f>
        <v>2318.07067787295</v>
      </c>
    </row>
    <row r="11" spans="1:20" s="2" customFormat="1">
      <c r="A11"/>
    </row>
    <row r="12" spans="1:20" s="2" customFormat="1" ht="22">
      <c r="A12"/>
      <c r="B12" s="653" t="s">
        <v>9</v>
      </c>
      <c r="C12" s="214"/>
      <c r="D12" s="214"/>
      <c r="E12" s="214"/>
      <c r="F12" s="214"/>
      <c r="G12" s="214"/>
      <c r="H12" s="214"/>
      <c r="I12" s="214"/>
      <c r="J12" s="214"/>
      <c r="K12" s="214"/>
      <c r="L12" s="214"/>
      <c r="M12" s="214"/>
      <c r="N12" s="214"/>
      <c r="O12" s="214"/>
      <c r="P12" s="214"/>
      <c r="Q12" s="214"/>
    </row>
    <row r="13" spans="1:20" s="2" customFormat="1" ht="22">
      <c r="A13"/>
      <c r="B13" s="17"/>
      <c r="C13" s="17"/>
      <c r="D13" s="17"/>
      <c r="E13" s="17"/>
      <c r="F13" s="17"/>
      <c r="G13" s="17"/>
      <c r="H13" s="17"/>
      <c r="I13" s="17"/>
      <c r="J13" s="17"/>
      <c r="K13" s="17"/>
      <c r="L13" s="17"/>
      <c r="M13" s="17"/>
      <c r="N13" s="17"/>
      <c r="O13" s="17"/>
      <c r="P13" s="17"/>
      <c r="Q13" s="17"/>
      <c r="R13" s="17"/>
      <c r="S13" s="17"/>
      <c r="T13" s="17"/>
    </row>
    <row r="14" spans="1:20" s="2" customFormat="1" ht="14.5" outlineLevel="1" thickBot="1">
      <c r="A14"/>
      <c r="B14" s="106" t="s">
        <v>324</v>
      </c>
      <c r="F14" s="232">
        <v>2020</v>
      </c>
      <c r="G14" s="232">
        <f>F14+1</f>
        <v>2021</v>
      </c>
      <c r="H14" s="232">
        <f t="shared" ref="H14:P14" si="4">G14+1</f>
        <v>2022</v>
      </c>
      <c r="I14" s="232">
        <f t="shared" si="4"/>
        <v>2023</v>
      </c>
      <c r="J14" s="232">
        <f t="shared" si="4"/>
        <v>2024</v>
      </c>
      <c r="K14" s="232">
        <f t="shared" si="4"/>
        <v>2025</v>
      </c>
      <c r="L14" s="233">
        <f t="shared" si="4"/>
        <v>2026</v>
      </c>
      <c r="M14" s="233">
        <f t="shared" si="4"/>
        <v>2027</v>
      </c>
      <c r="N14" s="233">
        <f t="shared" si="4"/>
        <v>2028</v>
      </c>
      <c r="O14" s="233">
        <f t="shared" si="4"/>
        <v>2029</v>
      </c>
      <c r="P14" s="233">
        <f t="shared" si="4"/>
        <v>2030</v>
      </c>
      <c r="Q14" s="234" t="s">
        <v>69</v>
      </c>
    </row>
    <row r="15" spans="1:20" s="2" customFormat="1" ht="22" outlineLevel="1">
      <c r="A15"/>
      <c r="B15" s="17"/>
      <c r="F15" s="29"/>
      <c r="G15" s="29"/>
      <c r="H15" s="29"/>
      <c r="I15" s="29"/>
      <c r="J15" s="29"/>
      <c r="K15" s="29"/>
      <c r="L15" s="30"/>
      <c r="M15" s="30"/>
      <c r="N15" s="30"/>
      <c r="O15" s="30"/>
      <c r="P15" s="30"/>
      <c r="Q15" s="31"/>
    </row>
    <row r="16" spans="1:20" s="2" customFormat="1" outlineLevel="1">
      <c r="A16"/>
      <c r="B16" s="32" t="s">
        <v>59</v>
      </c>
      <c r="F16" s="283">
        <v>0.03</v>
      </c>
      <c r="G16" s="283">
        <v>0.03</v>
      </c>
      <c r="H16" s="283">
        <v>0.03</v>
      </c>
      <c r="I16" s="283">
        <v>0.03</v>
      </c>
      <c r="J16" s="283">
        <v>0.03</v>
      </c>
      <c r="K16" s="283">
        <v>0.03</v>
      </c>
      <c r="L16" s="27">
        <f>'DCF Inputs'!G26</f>
        <v>2.7E-2</v>
      </c>
      <c r="M16" s="27">
        <f>'DCF Inputs'!H26</f>
        <v>2.5000000000000001E-2</v>
      </c>
      <c r="N16" s="27">
        <f>'DCF Inputs'!I26</f>
        <v>0.02</v>
      </c>
      <c r="O16" s="27">
        <f>'DCF Inputs'!J26</f>
        <v>0.02</v>
      </c>
      <c r="P16" s="27">
        <f>'DCF Inputs'!K26</f>
        <v>0.02</v>
      </c>
      <c r="Q16" s="27">
        <f>'DCF Inputs'!L26</f>
        <v>1.4999999999999999E-2</v>
      </c>
    </row>
    <row r="17" spans="1:17" s="2" customFormat="1" outlineLevel="1">
      <c r="A17"/>
      <c r="B17" s="32"/>
      <c r="F17" s="34"/>
      <c r="G17" s="34"/>
      <c r="H17" s="34"/>
      <c r="I17" s="34"/>
      <c r="J17" s="34"/>
      <c r="K17" s="34"/>
      <c r="L17" s="33"/>
      <c r="M17" s="33"/>
      <c r="N17" s="33"/>
      <c r="O17" s="33"/>
      <c r="P17" s="33"/>
    </row>
    <row r="18" spans="1:17" s="2" customFormat="1" ht="15" outlineLevel="1">
      <c r="A18"/>
      <c r="B18" s="126" t="s">
        <v>139</v>
      </c>
      <c r="C18" s="127">
        <f>'DCF Inputs'!G41</f>
        <v>200</v>
      </c>
      <c r="F18" s="34"/>
      <c r="G18" s="34"/>
      <c r="H18" s="34"/>
      <c r="I18" s="34"/>
      <c r="J18" s="34"/>
      <c r="K18" s="34"/>
      <c r="L18" s="33"/>
      <c r="M18" s="33"/>
      <c r="N18" s="33"/>
      <c r="O18" s="33"/>
      <c r="P18" s="33"/>
    </row>
    <row r="19" spans="1:17" s="2" customFormat="1" ht="15" outlineLevel="1">
      <c r="A19"/>
      <c r="B19" s="8" t="s">
        <v>140</v>
      </c>
      <c r="C19" s="128">
        <f>'DCF Inputs'!G47</f>
        <v>0.24</v>
      </c>
    </row>
    <row r="20" spans="1:17" s="2" customFormat="1" ht="15" outlineLevel="1">
      <c r="A20"/>
      <c r="B20" s="116"/>
      <c r="C20" s="129"/>
    </row>
    <row r="21" spans="1:17" s="2" customFormat="1" ht="15" outlineLevel="1">
      <c r="A21"/>
      <c r="B21" s="14" t="s">
        <v>0</v>
      </c>
      <c r="F21" s="38">
        <v>2850</v>
      </c>
      <c r="G21" s="38">
        <v>3760</v>
      </c>
      <c r="H21" s="38">
        <v>3590</v>
      </c>
      <c r="I21" s="38">
        <v>3030</v>
      </c>
      <c r="J21" s="38">
        <v>3180</v>
      </c>
      <c r="K21" s="38">
        <v>3440</v>
      </c>
      <c r="L21" s="28">
        <f t="shared" ref="L21:Q21" si="5">L7</f>
        <v>3612</v>
      </c>
      <c r="M21" s="28">
        <f t="shared" si="5"/>
        <v>3756.48</v>
      </c>
      <c r="N21" s="28">
        <f t="shared" si="5"/>
        <v>3887.9567999999999</v>
      </c>
      <c r="O21" s="28">
        <f t="shared" si="5"/>
        <v>4024.0352879999996</v>
      </c>
      <c r="P21" s="28">
        <f t="shared" si="5"/>
        <v>4225.2370523999998</v>
      </c>
      <c r="Q21" s="28">
        <f t="shared" si="5"/>
        <v>4436.4989050200002</v>
      </c>
    </row>
    <row r="22" spans="1:17" s="2" customFormat="1" ht="15" outlineLevel="1">
      <c r="A22"/>
      <c r="B22" s="14" t="s">
        <v>1</v>
      </c>
      <c r="F22" s="38">
        <v>-1355.83</v>
      </c>
      <c r="G22" s="38">
        <v>-1731.5</v>
      </c>
      <c r="H22" s="38">
        <v>-1596.23</v>
      </c>
      <c r="I22" s="38">
        <v>-1521.01</v>
      </c>
      <c r="J22" s="38">
        <v>-1639.81</v>
      </c>
      <c r="K22" s="38">
        <v>-1771.5</v>
      </c>
      <c r="L22" s="28">
        <f t="shared" ref="L22:Q22" si="6">L10*-1-L29</f>
        <v>-1805.9506000000001</v>
      </c>
      <c r="M22" s="28">
        <f t="shared" si="6"/>
        <v>-1867.7880400000004</v>
      </c>
      <c r="N22" s="28">
        <f t="shared" si="6"/>
        <v>-1917.9948400000001</v>
      </c>
      <c r="O22" s="28">
        <f t="shared" si="6"/>
        <v>-1973.9539378240001</v>
      </c>
      <c r="P22" s="28">
        <f t="shared" si="6"/>
        <v>-2060.7007935580004</v>
      </c>
      <c r="Q22" s="28">
        <f t="shared" si="6"/>
        <v>-2109.5552293370101</v>
      </c>
    </row>
    <row r="23" spans="1:17" s="2" customFormat="1" ht="15" outlineLevel="1">
      <c r="A23"/>
      <c r="B23" s="35" t="s">
        <v>2</v>
      </c>
      <c r="F23" s="38">
        <v>1330</v>
      </c>
      <c r="G23" s="38">
        <v>1860</v>
      </c>
      <c r="H23" s="38">
        <v>1810</v>
      </c>
      <c r="I23" s="38">
        <v>1390</v>
      </c>
      <c r="J23" s="38">
        <v>1410</v>
      </c>
      <c r="K23" s="38">
        <v>1520</v>
      </c>
      <c r="L23" s="28">
        <f t="shared" ref="L23:P23" si="7">SUM(L21:L22)</f>
        <v>1806.0493999999999</v>
      </c>
      <c r="M23" s="28">
        <f t="shared" si="7"/>
        <v>1888.6919599999997</v>
      </c>
      <c r="N23" s="28">
        <f t="shared" si="7"/>
        <v>1969.9619599999999</v>
      </c>
      <c r="O23" s="28">
        <f t="shared" si="7"/>
        <v>2050.0813501759994</v>
      </c>
      <c r="P23" s="28">
        <f t="shared" si="7"/>
        <v>2164.5362588419994</v>
      </c>
      <c r="Q23" s="28">
        <f t="shared" ref="Q23" si="8">SUM(Q21:Q22)</f>
        <v>2326.94367568299</v>
      </c>
    </row>
    <row r="24" spans="1:17" ht="15" outlineLevel="1">
      <c r="B24" s="35"/>
      <c r="F24" s="28"/>
      <c r="G24" s="28"/>
      <c r="H24" s="28"/>
      <c r="I24" s="28"/>
      <c r="J24" s="28"/>
      <c r="K24" s="28"/>
      <c r="L24" s="28"/>
      <c r="M24" s="28"/>
      <c r="N24" s="28"/>
      <c r="O24" s="28"/>
      <c r="P24" s="28"/>
      <c r="Q24" s="28"/>
    </row>
    <row r="25" spans="1:17" ht="15" outlineLevel="1">
      <c r="B25" s="14" t="s">
        <v>72</v>
      </c>
      <c r="F25" s="38">
        <v>-839.52</v>
      </c>
      <c r="G25" s="38">
        <v>-922</v>
      </c>
      <c r="H25" s="38">
        <v>-1070</v>
      </c>
      <c r="I25" s="38">
        <v>-1030</v>
      </c>
      <c r="J25" s="38">
        <v>-1050</v>
      </c>
      <c r="K25" s="38">
        <v>-1130</v>
      </c>
      <c r="L25" s="28">
        <f t="shared" ref="L25:Q25" si="9">K25*(1+L16)</f>
        <v>-1160.51</v>
      </c>
      <c r="M25" s="28">
        <f t="shared" si="9"/>
        <v>-1189.5227499999999</v>
      </c>
      <c r="N25" s="28">
        <f t="shared" si="9"/>
        <v>-1213.3132049999999</v>
      </c>
      <c r="O25" s="28">
        <f t="shared" si="9"/>
        <v>-1237.5794690999999</v>
      </c>
      <c r="P25" s="28">
        <f t="shared" si="9"/>
        <v>-1262.3310584819999</v>
      </c>
      <c r="Q25" s="28">
        <f t="shared" si="9"/>
        <v>-1281.2660243592297</v>
      </c>
    </row>
    <row r="26" spans="1:17" ht="15" outlineLevel="1">
      <c r="B26" s="14" t="s">
        <v>73</v>
      </c>
      <c r="F26" s="28">
        <f t="shared" ref="F26:K26" si="10">F23-F27+F25</f>
        <v>-162.11000000000001</v>
      </c>
      <c r="G26" s="28">
        <f t="shared" si="10"/>
        <v>-163</v>
      </c>
      <c r="H26" s="28">
        <f t="shared" si="10"/>
        <v>-189.85000000000002</v>
      </c>
      <c r="I26" s="28">
        <f t="shared" si="10"/>
        <v>-122.17000000000007</v>
      </c>
      <c r="J26" s="28">
        <f t="shared" si="10"/>
        <v>-137.95000000000005</v>
      </c>
      <c r="K26" s="28">
        <f t="shared" si="10"/>
        <v>-146.69000000000005</v>
      </c>
      <c r="L26" s="28">
        <f t="shared" ref="L26:Q26" si="11">K26*(1+L16)</f>
        <v>-150.65063000000004</v>
      </c>
      <c r="M26" s="28">
        <f t="shared" si="11"/>
        <v>-154.41689575000001</v>
      </c>
      <c r="N26" s="28">
        <f t="shared" si="11"/>
        <v>-157.50523366500002</v>
      </c>
      <c r="O26" s="28">
        <f t="shared" si="11"/>
        <v>-160.65533833830003</v>
      </c>
      <c r="P26" s="28">
        <f t="shared" si="11"/>
        <v>-163.86844510506603</v>
      </c>
      <c r="Q26" s="28">
        <f t="shared" si="11"/>
        <v>-166.326471781642</v>
      </c>
    </row>
    <row r="27" spans="1:17" ht="15" outlineLevel="1">
      <c r="B27" s="35" t="s">
        <v>4</v>
      </c>
      <c r="F27" s="38">
        <v>652.59</v>
      </c>
      <c r="G27" s="38">
        <v>1101</v>
      </c>
      <c r="H27" s="38">
        <v>929.85</v>
      </c>
      <c r="I27" s="38">
        <v>482.17</v>
      </c>
      <c r="J27" s="38">
        <v>497.95</v>
      </c>
      <c r="K27" s="38">
        <v>536.69000000000005</v>
      </c>
      <c r="L27" s="28">
        <f t="shared" ref="L27:Q27" si="12">L23+L25+L26</f>
        <v>494.88876999999985</v>
      </c>
      <c r="M27" s="28">
        <f t="shared" si="12"/>
        <v>544.75231424999981</v>
      </c>
      <c r="N27" s="28">
        <f t="shared" si="12"/>
        <v>599.14352133499995</v>
      </c>
      <c r="O27" s="28">
        <f t="shared" si="12"/>
        <v>651.84654273769956</v>
      </c>
      <c r="P27" s="28">
        <f t="shared" si="12"/>
        <v>738.33675525493345</v>
      </c>
      <c r="Q27" s="28">
        <f t="shared" si="12"/>
        <v>879.3511795421183</v>
      </c>
    </row>
    <row r="28" spans="1:17" ht="15" outlineLevel="1">
      <c r="B28" s="35"/>
      <c r="F28" s="28"/>
      <c r="G28" s="28"/>
      <c r="H28" s="28"/>
      <c r="I28" s="28"/>
      <c r="J28" s="28"/>
      <c r="K28" s="28"/>
      <c r="L28" s="28"/>
      <c r="M28" s="28"/>
      <c r="N28" s="28"/>
      <c r="O28" s="28"/>
      <c r="P28" s="28"/>
      <c r="Q28" s="28"/>
    </row>
    <row r="29" spans="1:17" ht="15" outlineLevel="1">
      <c r="B29" s="14" t="s">
        <v>74</v>
      </c>
      <c r="F29" s="38">
        <v>-164.17</v>
      </c>
      <c r="G29" s="38">
        <v>-168.5</v>
      </c>
      <c r="H29" s="38">
        <v>-183.77</v>
      </c>
      <c r="I29" s="38">
        <v>-118.99</v>
      </c>
      <c r="J29" s="38">
        <v>-130.19</v>
      </c>
      <c r="K29" s="38">
        <v>-148.5</v>
      </c>
      <c r="L29" s="28">
        <f>-L112</f>
        <v>-198.70939999999999</v>
      </c>
      <c r="M29" s="28">
        <f>-M112</f>
        <v>-209.5454</v>
      </c>
      <c r="N29" s="28">
        <f>-N112</f>
        <v>-220.38139999999999</v>
      </c>
      <c r="O29" s="28">
        <f>-O112</f>
        <v>-231.2174</v>
      </c>
      <c r="P29" s="28">
        <f>-P112</f>
        <v>-242.05340000000001</v>
      </c>
      <c r="Q29" s="28">
        <f>Q83*-1</f>
        <v>-208.51544853594001</v>
      </c>
    </row>
    <row r="30" spans="1:17" ht="15" outlineLevel="1">
      <c r="B30" s="35" t="s">
        <v>75</v>
      </c>
      <c r="F30" s="38">
        <v>488.41</v>
      </c>
      <c r="G30" s="38">
        <v>933.08</v>
      </c>
      <c r="H30" s="38">
        <v>746.08</v>
      </c>
      <c r="I30" s="38">
        <v>363.18</v>
      </c>
      <c r="J30" s="38">
        <v>367.75</v>
      </c>
      <c r="K30" s="38">
        <v>388.19</v>
      </c>
      <c r="L30" s="28">
        <f t="shared" ref="L30:Q30" si="13">L27+L29</f>
        <v>296.17936999999984</v>
      </c>
      <c r="M30" s="28">
        <f t="shared" si="13"/>
        <v>335.20691424999984</v>
      </c>
      <c r="N30" s="28">
        <f t="shared" si="13"/>
        <v>378.76212133499996</v>
      </c>
      <c r="O30" s="28">
        <f t="shared" si="13"/>
        <v>420.62914273769957</v>
      </c>
      <c r="P30" s="28">
        <f t="shared" si="13"/>
        <v>496.28335525493344</v>
      </c>
      <c r="Q30" s="28">
        <f t="shared" si="13"/>
        <v>670.83573100617832</v>
      </c>
    </row>
    <row r="31" spans="1:17" ht="15" outlineLevel="1">
      <c r="B31" s="35"/>
      <c r="F31" s="38"/>
      <c r="G31" s="38"/>
      <c r="H31" s="38"/>
      <c r="I31" s="38"/>
      <c r="J31" s="38"/>
      <c r="K31" s="38"/>
      <c r="L31" s="28"/>
      <c r="M31" s="28"/>
      <c r="N31" s="28"/>
      <c r="O31" s="28"/>
      <c r="P31" s="28"/>
      <c r="Q31" s="28"/>
    </row>
    <row r="32" spans="1:17" ht="15" outlineLevel="1">
      <c r="B32" s="14" t="s">
        <v>76</v>
      </c>
      <c r="F32" s="38">
        <v>-111.11000000000001</v>
      </c>
      <c r="G32" s="38">
        <v>-102.75999999999999</v>
      </c>
      <c r="H32" s="38">
        <v>-306.74000000000007</v>
      </c>
      <c r="I32" s="38">
        <v>-196.48000000000002</v>
      </c>
      <c r="J32" s="38">
        <v>-279.15999999999997</v>
      </c>
      <c r="K32" s="38">
        <v>-221.25</v>
      </c>
      <c r="L32" s="28">
        <f>$C$18*-1</f>
        <v>-200</v>
      </c>
      <c r="M32" s="28">
        <f t="shared" ref="M32:Q32" si="14">$C$18*-1</f>
        <v>-200</v>
      </c>
      <c r="N32" s="28">
        <f t="shared" si="14"/>
        <v>-200</v>
      </c>
      <c r="O32" s="28">
        <f t="shared" si="14"/>
        <v>-200</v>
      </c>
      <c r="P32" s="28">
        <f t="shared" si="14"/>
        <v>-200</v>
      </c>
      <c r="Q32" s="28">
        <f t="shared" si="14"/>
        <v>-200</v>
      </c>
    </row>
    <row r="33" spans="2:17" ht="15" outlineLevel="1">
      <c r="B33" s="35" t="s">
        <v>77</v>
      </c>
      <c r="F33" s="38">
        <v>377.3</v>
      </c>
      <c r="G33" s="38">
        <v>830.32</v>
      </c>
      <c r="H33" s="38">
        <v>439.34</v>
      </c>
      <c r="I33" s="38">
        <v>166.7</v>
      </c>
      <c r="J33" s="38">
        <v>88.59</v>
      </c>
      <c r="K33" s="38">
        <v>166.94</v>
      </c>
      <c r="L33" s="28">
        <f>SUM(L30:L32)</f>
        <v>96.179369999999835</v>
      </c>
      <c r="M33" s="28">
        <f t="shared" ref="M33:Q33" si="15">SUM(M30:M32)</f>
        <v>135.20691424999984</v>
      </c>
      <c r="N33" s="28">
        <f t="shared" si="15"/>
        <v>178.76212133499996</v>
      </c>
      <c r="O33" s="28">
        <f t="shared" si="15"/>
        <v>220.62914273769957</v>
      </c>
      <c r="P33" s="28">
        <f t="shared" si="15"/>
        <v>296.28335525493344</v>
      </c>
      <c r="Q33" s="28">
        <f t="shared" si="15"/>
        <v>470.83573100617832</v>
      </c>
    </row>
    <row r="34" spans="2:17" ht="15" outlineLevel="1">
      <c r="B34" s="35"/>
      <c r="F34" s="38"/>
      <c r="G34" s="38"/>
      <c r="H34" s="38"/>
      <c r="I34" s="38"/>
      <c r="J34" s="38"/>
      <c r="K34" s="38"/>
      <c r="L34" s="28"/>
      <c r="M34" s="28"/>
      <c r="N34" s="28"/>
      <c r="O34" s="28"/>
      <c r="P34" s="28"/>
      <c r="Q34" s="28"/>
    </row>
    <row r="35" spans="2:17" ht="15" outlineLevel="1">
      <c r="B35" s="14" t="s">
        <v>78</v>
      </c>
      <c r="F35" s="38">
        <v>-109.52</v>
      </c>
      <c r="G35" s="38">
        <v>-140.47999999999999</v>
      </c>
      <c r="H35" s="38">
        <v>-1.25</v>
      </c>
      <c r="I35" s="38">
        <v>-2.96</v>
      </c>
      <c r="J35" s="38">
        <v>-6.23</v>
      </c>
      <c r="K35" s="38">
        <v>-21.59</v>
      </c>
      <c r="L35" s="28">
        <f>L165</f>
        <v>42.848920799999945</v>
      </c>
      <c r="M35" s="28">
        <f t="shared" ref="M35:P35" si="16">M165</f>
        <v>59.95777973999995</v>
      </c>
      <c r="N35" s="28">
        <f t="shared" si="16"/>
        <v>70.109385440399976</v>
      </c>
      <c r="O35" s="28">
        <f t="shared" si="16"/>
        <v>80.201278613879893</v>
      </c>
      <c r="P35" s="28">
        <f t="shared" si="16"/>
        <v>98.688690107724824</v>
      </c>
      <c r="Q35" s="28">
        <f>Q33*C19</f>
        <v>113.00057544148279</v>
      </c>
    </row>
    <row r="36" spans="2:17" ht="15" outlineLevel="1">
      <c r="B36" s="14" t="s">
        <v>79</v>
      </c>
      <c r="F36" s="38">
        <v>4.92</v>
      </c>
      <c r="G36" s="38">
        <v>6.92</v>
      </c>
      <c r="H36" s="38">
        <v>92.61</v>
      </c>
      <c r="I36" s="38">
        <v>-25.3</v>
      </c>
      <c r="J36" s="38">
        <v>1.43</v>
      </c>
      <c r="K36" s="38">
        <v>-25.57</v>
      </c>
      <c r="L36" s="28">
        <f t="shared" ref="L36:P37" si="17">L166</f>
        <v>-19.765871999999984</v>
      </c>
      <c r="M36" s="28">
        <f t="shared" si="17"/>
        <v>-27.508120319999989</v>
      </c>
      <c r="N36" s="28">
        <f t="shared" si="17"/>
        <v>-27.206476319999986</v>
      </c>
      <c r="O36" s="28">
        <f t="shared" si="17"/>
        <v>-27.250284356831997</v>
      </c>
      <c r="P36" s="28">
        <f t="shared" si="17"/>
        <v>-27.580684846540805</v>
      </c>
      <c r="Q36" s="28">
        <f t="shared" ref="Q36" si="18">Q166</f>
        <v>0</v>
      </c>
    </row>
    <row r="37" spans="2:17" ht="15" outlineLevel="1">
      <c r="B37" s="508" t="s">
        <v>80</v>
      </c>
      <c r="F37" s="38">
        <v>104.6</v>
      </c>
      <c r="G37" s="38">
        <v>133.56</v>
      </c>
      <c r="H37" s="38">
        <v>91.36</v>
      </c>
      <c r="I37" s="38">
        <v>28.26</v>
      </c>
      <c r="J37" s="38">
        <v>4.8</v>
      </c>
      <c r="K37" s="38">
        <v>47.16</v>
      </c>
      <c r="L37" s="28">
        <f t="shared" si="17"/>
        <v>23.083048799999961</v>
      </c>
      <c r="M37" s="28">
        <f t="shared" si="17"/>
        <v>32.449659419999961</v>
      </c>
      <c r="N37" s="28">
        <f t="shared" si="17"/>
        <v>42.90290912039999</v>
      </c>
      <c r="O37" s="28">
        <f t="shared" si="17"/>
        <v>52.950994257047896</v>
      </c>
      <c r="P37" s="28">
        <f t="shared" si="17"/>
        <v>71.108005261184019</v>
      </c>
      <c r="Q37" s="28">
        <f>SUM(Q35:Q36)</f>
        <v>113.00057544148279</v>
      </c>
    </row>
    <row r="38" spans="2:17" ht="15" outlineLevel="1">
      <c r="B38" s="14"/>
      <c r="F38" s="38"/>
      <c r="G38" s="38"/>
      <c r="H38" s="38"/>
      <c r="I38" s="38"/>
      <c r="J38" s="38"/>
      <c r="K38" s="38"/>
      <c r="L38" s="28"/>
      <c r="M38" s="28"/>
      <c r="N38" s="28"/>
      <c r="O38" s="28"/>
      <c r="P38" s="28"/>
      <c r="Q38" s="28"/>
    </row>
    <row r="39" spans="2:17" ht="15" outlineLevel="1">
      <c r="B39" s="35" t="s">
        <v>7</v>
      </c>
      <c r="F39" s="38">
        <v>271.81</v>
      </c>
      <c r="G39" s="38">
        <v>688.55</v>
      </c>
      <c r="H39" s="38">
        <v>528.64</v>
      </c>
      <c r="I39" s="38">
        <v>127.56</v>
      </c>
      <c r="J39" s="38">
        <v>72.41</v>
      </c>
      <c r="K39" s="38">
        <v>124.79</v>
      </c>
      <c r="L39" s="28">
        <f>L33-L37</f>
        <v>73.096321199999878</v>
      </c>
      <c r="M39" s="28">
        <f t="shared" ref="M39:P39" si="19">M33-M37</f>
        <v>102.75725482999988</v>
      </c>
      <c r="N39" s="28">
        <f t="shared" si="19"/>
        <v>135.85921221459998</v>
      </c>
      <c r="O39" s="28">
        <f t="shared" si="19"/>
        <v>167.67814848065166</v>
      </c>
      <c r="P39" s="28">
        <f t="shared" si="19"/>
        <v>225.17534999374942</v>
      </c>
      <c r="Q39" s="28">
        <f>Q33-Q37</f>
        <v>357.83515556469553</v>
      </c>
    </row>
    <row r="41" spans="2:17" ht="22">
      <c r="B41" s="231" t="s">
        <v>81</v>
      </c>
      <c r="C41" s="215"/>
      <c r="D41" s="215"/>
      <c r="E41" s="215"/>
      <c r="F41" s="215"/>
      <c r="G41" s="215"/>
      <c r="H41" s="215"/>
      <c r="I41" s="215"/>
      <c r="J41" s="215"/>
      <c r="K41" s="215"/>
      <c r="L41" s="215"/>
      <c r="M41" s="215"/>
      <c r="N41" s="215"/>
      <c r="O41" s="215"/>
      <c r="P41" s="215"/>
      <c r="Q41" s="215"/>
    </row>
    <row r="43" spans="2:17" ht="14.5" outlineLevel="1" thickBot="1">
      <c r="B43" s="106"/>
      <c r="F43" s="232">
        <v>2020</v>
      </c>
      <c r="G43" s="232">
        <f>F43+1</f>
        <v>2021</v>
      </c>
      <c r="H43" s="232">
        <f t="shared" ref="H43" si="20">G43+1</f>
        <v>2022</v>
      </c>
      <c r="I43" s="232">
        <f t="shared" ref="I43" si="21">H43+1</f>
        <v>2023</v>
      </c>
      <c r="J43" s="232">
        <f t="shared" ref="J43" si="22">I43+1</f>
        <v>2024</v>
      </c>
      <c r="K43" s="232">
        <f t="shared" ref="K43" si="23">J43+1</f>
        <v>2025</v>
      </c>
      <c r="L43" s="233">
        <f t="shared" ref="L43" si="24">K43+1</f>
        <v>2026</v>
      </c>
      <c r="M43" s="233">
        <f t="shared" ref="M43" si="25">L43+1</f>
        <v>2027</v>
      </c>
      <c r="N43" s="233">
        <f t="shared" ref="N43" si="26">M43+1</f>
        <v>2028</v>
      </c>
      <c r="O43" s="233">
        <f t="shared" ref="O43" si="27">N43+1</f>
        <v>2029</v>
      </c>
      <c r="P43" s="233">
        <f t="shared" ref="P43" si="28">O43+1</f>
        <v>2030</v>
      </c>
      <c r="Q43" s="234" t="s">
        <v>69</v>
      </c>
    </row>
    <row r="44" spans="2:17" outlineLevel="1">
      <c r="F44" s="29"/>
      <c r="G44" s="29"/>
      <c r="H44" s="29"/>
      <c r="I44" s="29"/>
      <c r="J44" s="29"/>
      <c r="K44" s="29"/>
      <c r="L44" s="30"/>
      <c r="M44" s="30"/>
      <c r="N44" s="30"/>
      <c r="O44" s="30"/>
      <c r="P44" s="30"/>
      <c r="Q44" s="31"/>
    </row>
    <row r="45" spans="2:17" ht="15" outlineLevel="1">
      <c r="B45" s="72" t="s">
        <v>68</v>
      </c>
      <c r="C45" s="85"/>
      <c r="D45" s="86"/>
      <c r="E45" s="87"/>
      <c r="F45" s="24">
        <v>365</v>
      </c>
      <c r="G45" s="23">
        <v>365</v>
      </c>
      <c r="H45" s="23">
        <v>365</v>
      </c>
      <c r="I45" s="23">
        <v>365</v>
      </c>
      <c r="J45" s="23">
        <v>365</v>
      </c>
      <c r="K45" s="23">
        <v>365</v>
      </c>
      <c r="L45" s="23">
        <v>365</v>
      </c>
      <c r="M45" s="23">
        <v>365</v>
      </c>
      <c r="N45" s="23">
        <v>365</v>
      </c>
      <c r="O45" s="23">
        <v>365</v>
      </c>
      <c r="P45" s="23">
        <v>365</v>
      </c>
      <c r="Q45" s="655">
        <v>365</v>
      </c>
    </row>
    <row r="46" spans="2:17" ht="15" outlineLevel="1">
      <c r="B46" s="72" t="s">
        <v>0</v>
      </c>
      <c r="C46" s="87"/>
      <c r="D46" s="87"/>
      <c r="E46" s="87"/>
      <c r="F46" s="221">
        <f t="shared" ref="F46:Q46" si="29">F7</f>
        <v>2850</v>
      </c>
      <c r="G46" s="20">
        <f t="shared" si="29"/>
        <v>3760</v>
      </c>
      <c r="H46" s="20">
        <f t="shared" si="29"/>
        <v>3590</v>
      </c>
      <c r="I46" s="20">
        <f t="shared" si="29"/>
        <v>3030</v>
      </c>
      <c r="J46" s="20">
        <f t="shared" si="29"/>
        <v>3180</v>
      </c>
      <c r="K46" s="20">
        <f t="shared" si="29"/>
        <v>3440</v>
      </c>
      <c r="L46" s="20">
        <f t="shared" si="29"/>
        <v>3612</v>
      </c>
      <c r="M46" s="20">
        <f t="shared" si="29"/>
        <v>3756.48</v>
      </c>
      <c r="N46" s="20">
        <f t="shared" si="29"/>
        <v>3887.9567999999999</v>
      </c>
      <c r="O46" s="20">
        <f t="shared" si="29"/>
        <v>4024.0352879999996</v>
      </c>
      <c r="P46" s="20">
        <f t="shared" si="29"/>
        <v>4225.2370523999998</v>
      </c>
      <c r="Q46" s="656">
        <f t="shared" si="29"/>
        <v>4436.4989050200002</v>
      </c>
    </row>
    <row r="47" spans="2:17" ht="15" outlineLevel="1">
      <c r="B47" s="72" t="s">
        <v>1</v>
      </c>
      <c r="C47" s="87"/>
      <c r="D47" s="87"/>
      <c r="E47" s="87"/>
      <c r="F47" s="222">
        <f t="shared" ref="F47:Q47" si="30">F10</f>
        <v>1520</v>
      </c>
      <c r="G47" s="22">
        <f t="shared" si="30"/>
        <v>1900</v>
      </c>
      <c r="H47" s="22">
        <f t="shared" si="30"/>
        <v>1780</v>
      </c>
      <c r="I47" s="22">
        <f t="shared" si="30"/>
        <v>1640</v>
      </c>
      <c r="J47" s="22">
        <f t="shared" si="30"/>
        <v>1770</v>
      </c>
      <c r="K47" s="22">
        <f t="shared" si="30"/>
        <v>1920</v>
      </c>
      <c r="L47" s="22">
        <f t="shared" si="30"/>
        <v>2004.66</v>
      </c>
      <c r="M47" s="22">
        <f t="shared" si="30"/>
        <v>2077.3334400000003</v>
      </c>
      <c r="N47" s="22">
        <f t="shared" si="30"/>
        <v>2138.3762400000001</v>
      </c>
      <c r="O47" s="22">
        <f t="shared" si="30"/>
        <v>2205.1713378240001</v>
      </c>
      <c r="P47" s="22">
        <f t="shared" si="30"/>
        <v>2302.7541935580002</v>
      </c>
      <c r="Q47" s="19">
        <f t="shared" si="30"/>
        <v>2318.07067787295</v>
      </c>
    </row>
    <row r="48" spans="2:17" ht="15" outlineLevel="1">
      <c r="B48" s="72" t="s">
        <v>127</v>
      </c>
      <c r="C48" s="87"/>
      <c r="D48" s="87"/>
      <c r="E48" s="87"/>
      <c r="F48" s="20">
        <f t="shared" ref="F48:Q48" si="31">F25*-1</f>
        <v>839.52</v>
      </c>
      <c r="G48" s="20">
        <f t="shared" si="31"/>
        <v>922</v>
      </c>
      <c r="H48" s="20">
        <f t="shared" si="31"/>
        <v>1070</v>
      </c>
      <c r="I48" s="20">
        <f t="shared" si="31"/>
        <v>1030</v>
      </c>
      <c r="J48" s="20">
        <f t="shared" si="31"/>
        <v>1050</v>
      </c>
      <c r="K48" s="20">
        <f t="shared" si="31"/>
        <v>1130</v>
      </c>
      <c r="L48" s="20">
        <f t="shared" si="31"/>
        <v>1160.51</v>
      </c>
      <c r="M48" s="20">
        <f t="shared" si="31"/>
        <v>1189.5227499999999</v>
      </c>
      <c r="N48" s="20">
        <f t="shared" si="31"/>
        <v>1213.3132049999999</v>
      </c>
      <c r="O48" s="20">
        <f t="shared" si="31"/>
        <v>1237.5794690999999</v>
      </c>
      <c r="P48" s="20">
        <f t="shared" si="31"/>
        <v>1262.3310584819999</v>
      </c>
      <c r="Q48" s="20">
        <f t="shared" si="31"/>
        <v>1281.2660243592297</v>
      </c>
    </row>
    <row r="49" spans="2:17" ht="15" outlineLevel="1">
      <c r="B49" s="72" t="s">
        <v>118</v>
      </c>
      <c r="C49" s="87"/>
      <c r="D49" s="87"/>
      <c r="E49" s="87"/>
      <c r="F49" s="20">
        <f>F63/F25*-1</f>
        <v>0</v>
      </c>
      <c r="G49" s="20">
        <f>G63/G25*-1</f>
        <v>0</v>
      </c>
      <c r="H49" s="223">
        <f>H63/H25*(-1)</f>
        <v>2.2757009345794395E-2</v>
      </c>
      <c r="I49" s="223">
        <f>I63/I25*(-1)</f>
        <v>4.0864077669902917E-2</v>
      </c>
      <c r="J49" s="223">
        <f>J63/J25*(-1)</f>
        <v>2.8180952380952379E-2</v>
      </c>
      <c r="K49" s="223">
        <f>K63/K25*(-1)</f>
        <v>2.686725663716814E-2</v>
      </c>
      <c r="L49" s="223">
        <f>'DCF Inputs'!G32</f>
        <v>2.5000000000000001E-2</v>
      </c>
      <c r="M49" s="223">
        <f>'DCF Inputs'!H32</f>
        <v>2.5000000000000001E-2</v>
      </c>
      <c r="N49" s="223">
        <f>'DCF Inputs'!I32</f>
        <v>2.5000000000000001E-2</v>
      </c>
      <c r="O49" s="223">
        <f>'DCF Inputs'!J32</f>
        <v>2.5000000000000001E-2</v>
      </c>
      <c r="P49" s="223">
        <f>'DCF Inputs'!K32</f>
        <v>2.5000000000000001E-2</v>
      </c>
      <c r="Q49" s="223">
        <f>'DCF Inputs'!L32</f>
        <v>2.5000000000000001E-2</v>
      </c>
    </row>
    <row r="50" spans="2:17" ht="15" outlineLevel="1">
      <c r="B50" s="72" t="s">
        <v>120</v>
      </c>
      <c r="C50" s="87"/>
      <c r="D50" s="87"/>
      <c r="E50" s="87"/>
      <c r="F50" s="223">
        <f t="shared" ref="F50:K50" si="32">F64/F46</f>
        <v>1.7378947368421053E-2</v>
      </c>
      <c r="G50" s="223">
        <f t="shared" si="32"/>
        <v>1.3779255319148937E-2</v>
      </c>
      <c r="H50" s="223">
        <f t="shared" si="32"/>
        <v>8.6991643454039005E-3</v>
      </c>
      <c r="I50" s="223">
        <f t="shared" si="32"/>
        <v>1.1267326732673267E-2</v>
      </c>
      <c r="J50" s="223">
        <f t="shared" si="32"/>
        <v>1.4688679245283019E-2</v>
      </c>
      <c r="K50" s="223">
        <f t="shared" si="32"/>
        <v>1.3697674418604651E-2</v>
      </c>
      <c r="L50" s="223">
        <f>'DCF Inputs'!G33</f>
        <v>1.2E-2</v>
      </c>
      <c r="M50" s="223">
        <f>'DCF Inputs'!H33</f>
        <v>1.2E-2</v>
      </c>
      <c r="N50" s="223">
        <f>'DCF Inputs'!I33</f>
        <v>1.2E-2</v>
      </c>
      <c r="O50" s="223">
        <f>'DCF Inputs'!J33</f>
        <v>1.2E-2</v>
      </c>
      <c r="P50" s="223">
        <f>'DCF Inputs'!K33</f>
        <v>1.2E-2</v>
      </c>
      <c r="Q50" s="223">
        <f>'DCF Inputs'!L33</f>
        <v>1.2E-2</v>
      </c>
    </row>
    <row r="51" spans="2:17" ht="15" outlineLevel="1">
      <c r="B51" s="72" t="s">
        <v>122</v>
      </c>
      <c r="C51" s="87"/>
      <c r="D51" s="87"/>
      <c r="E51" s="87"/>
      <c r="F51" s="223">
        <f t="shared" ref="F51:K51" si="33">F66/F46</f>
        <v>2.9775438596491229E-2</v>
      </c>
      <c r="G51" s="223">
        <f t="shared" si="33"/>
        <v>2.576063829787234E-2</v>
      </c>
      <c r="H51" s="223">
        <f t="shared" si="33"/>
        <v>2.1350974930362119E-2</v>
      </c>
      <c r="I51" s="223">
        <f t="shared" si="33"/>
        <v>1.446864686468647E-2</v>
      </c>
      <c r="J51" s="223">
        <f t="shared" si="33"/>
        <v>1.5940251572327042E-2</v>
      </c>
      <c r="K51" s="223">
        <f t="shared" si="33"/>
        <v>1.5968023255813955E-2</v>
      </c>
      <c r="L51" s="223">
        <f>'DCF Inputs'!G34</f>
        <v>0.02</v>
      </c>
      <c r="M51" s="223">
        <f>'DCF Inputs'!H34</f>
        <v>0.02</v>
      </c>
      <c r="N51" s="223">
        <f>'DCF Inputs'!I34</f>
        <v>0.02</v>
      </c>
      <c r="O51" s="223">
        <f>'DCF Inputs'!J34</f>
        <v>0.02</v>
      </c>
      <c r="P51" s="223">
        <f>'DCF Inputs'!K34</f>
        <v>0.02</v>
      </c>
      <c r="Q51" s="223">
        <f>'DCF Inputs'!L34</f>
        <v>0.02</v>
      </c>
    </row>
    <row r="52" spans="2:17" ht="15" outlineLevel="1">
      <c r="B52" s="72" t="s">
        <v>124</v>
      </c>
      <c r="C52" s="92"/>
      <c r="D52" s="87"/>
      <c r="E52" s="87"/>
      <c r="F52" s="224">
        <f t="shared" ref="F52:K52" si="34">F67/F46</f>
        <v>9.8470175438596486E-2</v>
      </c>
      <c r="G52" s="224">
        <f t="shared" si="34"/>
        <v>0.10317287234042553</v>
      </c>
      <c r="H52" s="224">
        <f t="shared" si="34"/>
        <v>9.0738161559888578E-2</v>
      </c>
      <c r="I52" s="224">
        <f t="shared" si="34"/>
        <v>9.3336633663366336E-2</v>
      </c>
      <c r="J52" s="224">
        <f t="shared" si="34"/>
        <v>9.1764150943396225E-2</v>
      </c>
      <c r="K52" s="224">
        <f t="shared" si="34"/>
        <v>0.10367441860465115</v>
      </c>
      <c r="L52" s="223">
        <f>'DCF Inputs'!G35</f>
        <v>0.1</v>
      </c>
      <c r="M52" s="223">
        <f>'DCF Inputs'!H35</f>
        <v>0.1</v>
      </c>
      <c r="N52" s="223">
        <f>'DCF Inputs'!I35</f>
        <v>0.1</v>
      </c>
      <c r="O52" s="223">
        <f>'DCF Inputs'!J35</f>
        <v>0.1</v>
      </c>
      <c r="P52" s="223">
        <f>'DCF Inputs'!K35</f>
        <v>0.1</v>
      </c>
      <c r="Q52" s="223">
        <f>'DCF Inputs'!L35</f>
        <v>0.1</v>
      </c>
    </row>
    <row r="53" spans="2:17" ht="15" outlineLevel="1">
      <c r="B53" s="72" t="s">
        <v>126</v>
      </c>
      <c r="C53" s="92"/>
      <c r="D53" s="87"/>
      <c r="E53" s="87"/>
      <c r="F53" s="224">
        <f t="shared" ref="F53:K53" si="35">F68/F46</f>
        <v>6.0610526315789476E-2</v>
      </c>
      <c r="G53" s="224">
        <f t="shared" si="35"/>
        <v>4.5109042553191495E-2</v>
      </c>
      <c r="H53" s="224">
        <f t="shared" si="35"/>
        <v>5.3548746518105851E-2</v>
      </c>
      <c r="I53" s="224">
        <f t="shared" si="35"/>
        <v>5.9745874587458746E-2</v>
      </c>
      <c r="J53" s="224">
        <f t="shared" si="35"/>
        <v>5.1905660377358491E-2</v>
      </c>
      <c r="K53" s="224">
        <f t="shared" si="35"/>
        <v>4.7052325581395354E-2</v>
      </c>
      <c r="L53" s="223">
        <f>'DCF Inputs'!G36</f>
        <v>0.05</v>
      </c>
      <c r="M53" s="223">
        <f>'DCF Inputs'!H36</f>
        <v>0.05</v>
      </c>
      <c r="N53" s="223">
        <f>'DCF Inputs'!I36</f>
        <v>0.05</v>
      </c>
      <c r="O53" s="223">
        <f>'DCF Inputs'!J36</f>
        <v>0.05</v>
      </c>
      <c r="P53" s="223">
        <f>'DCF Inputs'!K36</f>
        <v>0.05</v>
      </c>
      <c r="Q53" s="223">
        <f>'DCF Inputs'!L36</f>
        <v>0.05</v>
      </c>
    </row>
    <row r="54" spans="2:17" ht="15" outlineLevel="1">
      <c r="B54" s="72"/>
      <c r="C54" s="92"/>
      <c r="D54" s="87"/>
      <c r="E54" s="87"/>
      <c r="F54" s="18"/>
      <c r="G54" s="18"/>
      <c r="H54" s="18"/>
      <c r="I54" s="225"/>
      <c r="J54" s="225"/>
      <c r="K54" s="225"/>
      <c r="L54" s="225"/>
      <c r="M54" s="225"/>
      <c r="N54" s="225"/>
      <c r="O54" s="2"/>
      <c r="P54" s="2"/>
      <c r="Q54" s="2"/>
    </row>
    <row r="55" spans="2:17" ht="15" outlineLevel="1">
      <c r="B55" s="93" t="s">
        <v>376</v>
      </c>
      <c r="C55" s="92"/>
      <c r="D55" s="87"/>
      <c r="E55" s="87"/>
      <c r="F55" s="18"/>
      <c r="G55" s="18"/>
      <c r="H55" s="18"/>
      <c r="I55" s="225"/>
      <c r="J55" s="225"/>
      <c r="K55" s="225"/>
      <c r="L55" s="225"/>
      <c r="M55" s="225"/>
      <c r="N55" s="225"/>
      <c r="O55" s="2"/>
      <c r="P55" s="2"/>
      <c r="Q55" s="2"/>
    </row>
    <row r="56" spans="2:17" ht="15" outlineLevel="1">
      <c r="B56" s="72" t="s">
        <v>12</v>
      </c>
      <c r="C56" s="87"/>
      <c r="D56" s="86" t="s">
        <v>108</v>
      </c>
      <c r="E56" s="86"/>
      <c r="F56" s="26">
        <f t="shared" ref="F56:K56" si="36">F61/F46*F45</f>
        <v>9.3542456140350883</v>
      </c>
      <c r="G56" s="26">
        <f t="shared" si="36"/>
        <v>7.9280718085106381</v>
      </c>
      <c r="H56" s="26">
        <f t="shared" si="36"/>
        <v>9.7350278551532039</v>
      </c>
      <c r="I56" s="26">
        <f t="shared" si="36"/>
        <v>11.275247524752475</v>
      </c>
      <c r="J56" s="26">
        <f t="shared" si="36"/>
        <v>13.13311320754717</v>
      </c>
      <c r="K56" s="26">
        <f t="shared" si="36"/>
        <v>12.832296511627908</v>
      </c>
      <c r="L56" s="226">
        <f>'DCF Inputs'!G29</f>
        <v>10</v>
      </c>
      <c r="M56" s="226">
        <f>'DCF Inputs'!H29</f>
        <v>10</v>
      </c>
      <c r="N56" s="226">
        <f>'DCF Inputs'!I29</f>
        <v>10</v>
      </c>
      <c r="O56" s="226">
        <f>'DCF Inputs'!J29</f>
        <v>10</v>
      </c>
      <c r="P56" s="226">
        <f>'DCF Inputs'!K29</f>
        <v>10</v>
      </c>
      <c r="Q56" s="226">
        <f>'DCF Inputs'!L29</f>
        <v>10</v>
      </c>
    </row>
    <row r="57" spans="2:17" ht="15" outlineLevel="1">
      <c r="B57" s="72" t="s">
        <v>13</v>
      </c>
      <c r="C57" s="87"/>
      <c r="D57" s="86" t="s">
        <v>108</v>
      </c>
      <c r="E57" s="86"/>
      <c r="F57" s="26">
        <f t="shared" ref="F57:K57" si="37">F62/F47*F45</f>
        <v>133.69325657894737</v>
      </c>
      <c r="G57" s="26">
        <f t="shared" si="37"/>
        <v>144.82815789473685</v>
      </c>
      <c r="H57" s="26">
        <f t="shared" si="37"/>
        <v>168.76943820224719</v>
      </c>
      <c r="I57" s="26">
        <f t="shared" si="37"/>
        <v>173.71551829268293</v>
      </c>
      <c r="J57" s="26">
        <f t="shared" si="37"/>
        <v>214.4632768361582</v>
      </c>
      <c r="K57" s="26">
        <f t="shared" si="37"/>
        <v>160.59619791666665</v>
      </c>
      <c r="L57" s="226">
        <f>'DCF Inputs'!G30</f>
        <v>150</v>
      </c>
      <c r="M57" s="226">
        <f>'DCF Inputs'!H30</f>
        <v>150</v>
      </c>
      <c r="N57" s="226">
        <f>'DCF Inputs'!I30</f>
        <v>150</v>
      </c>
      <c r="O57" s="226">
        <f>'DCF Inputs'!J30</f>
        <v>150</v>
      </c>
      <c r="P57" s="226">
        <f>'DCF Inputs'!K30</f>
        <v>150</v>
      </c>
      <c r="Q57" s="226">
        <f>'DCF Inputs'!L30</f>
        <v>150</v>
      </c>
    </row>
    <row r="58" spans="2:17" ht="15" outlineLevel="1">
      <c r="B58" s="72" t="s">
        <v>23</v>
      </c>
      <c r="C58" s="87"/>
      <c r="D58" s="86" t="s">
        <v>108</v>
      </c>
      <c r="E58" s="86"/>
      <c r="F58" s="26">
        <f t="shared" ref="F58:K58" si="38">F65/F47*F45</f>
        <v>54.007993421052632</v>
      </c>
      <c r="G58" s="26">
        <f t="shared" si="38"/>
        <v>46.495236842105264</v>
      </c>
      <c r="H58" s="26">
        <f t="shared" si="38"/>
        <v>34.055730337078657</v>
      </c>
      <c r="I58" s="26">
        <f t="shared" si="38"/>
        <v>42.807378048780492</v>
      </c>
      <c r="J58" s="26">
        <f t="shared" si="38"/>
        <v>50.576214689265534</v>
      </c>
      <c r="K58" s="26">
        <f t="shared" si="38"/>
        <v>37.591197916666673</v>
      </c>
      <c r="L58" s="226">
        <f>'DCF Inputs'!G31</f>
        <v>45</v>
      </c>
      <c r="M58" s="226">
        <f>'DCF Inputs'!H31</f>
        <v>45</v>
      </c>
      <c r="N58" s="226">
        <f>'DCF Inputs'!I31</f>
        <v>45</v>
      </c>
      <c r="O58" s="226">
        <f>'DCF Inputs'!J31</f>
        <v>45</v>
      </c>
      <c r="P58" s="226">
        <f>'DCF Inputs'!K31</f>
        <v>45</v>
      </c>
      <c r="Q58" s="226">
        <f>'DCF Inputs'!L31</f>
        <v>45</v>
      </c>
    </row>
    <row r="59" spans="2:17" ht="16.5" outlineLevel="1">
      <c r="B59" s="91"/>
      <c r="C59" s="87"/>
      <c r="D59" s="95"/>
      <c r="E59" s="95"/>
      <c r="F59" s="227"/>
      <c r="G59" s="228"/>
      <c r="H59" s="228"/>
      <c r="I59" s="229"/>
      <c r="J59" s="229"/>
      <c r="K59" s="229"/>
      <c r="L59" s="229"/>
      <c r="M59" s="229"/>
      <c r="N59" s="229"/>
      <c r="O59" s="2"/>
      <c r="P59" s="2"/>
      <c r="Q59" s="2"/>
    </row>
    <row r="60" spans="2:17" ht="15" outlineLevel="1">
      <c r="B60" s="93" t="s">
        <v>109</v>
      </c>
      <c r="C60" s="92"/>
      <c r="D60" s="87"/>
      <c r="E60" s="87"/>
      <c r="F60" s="18"/>
      <c r="G60" s="18"/>
      <c r="H60" s="18"/>
      <c r="I60" s="225"/>
      <c r="J60" s="225"/>
      <c r="K60" s="225"/>
      <c r="L60" s="225"/>
      <c r="M60" s="225"/>
      <c r="N60" s="225"/>
      <c r="O60" s="2"/>
      <c r="P60" s="2"/>
      <c r="Q60" s="2"/>
    </row>
    <row r="61" spans="2:17" ht="15" outlineLevel="1">
      <c r="B61" s="72" t="s">
        <v>12</v>
      </c>
      <c r="C61" s="87"/>
      <c r="D61" s="87"/>
      <c r="E61" s="87"/>
      <c r="F61" s="21">
        <f>'RH Financial Report'!C21</f>
        <v>73.040000000000006</v>
      </c>
      <c r="G61" s="21">
        <f>'RH Financial Report'!D21</f>
        <v>81.67</v>
      </c>
      <c r="H61" s="21">
        <f>'RH Financial Report'!E21</f>
        <v>95.75</v>
      </c>
      <c r="I61" s="21">
        <f>'RH Financial Report'!F21</f>
        <v>93.6</v>
      </c>
      <c r="J61" s="21">
        <f>'RH Financial Report'!G21</f>
        <v>114.42</v>
      </c>
      <c r="K61" s="21">
        <f>'RH Financial Report'!H21</f>
        <v>120.94</v>
      </c>
      <c r="L61" s="20">
        <f t="shared" ref="L61:Q61" si="39">L56/L45*L46</f>
        <v>98.958904109589042</v>
      </c>
      <c r="M61" s="20">
        <f t="shared" si="39"/>
        <v>102.9172602739726</v>
      </c>
      <c r="N61" s="20">
        <f t="shared" si="39"/>
        <v>106.51936438356164</v>
      </c>
      <c r="O61" s="20">
        <f t="shared" si="39"/>
        <v>110.24754213698628</v>
      </c>
      <c r="P61" s="20">
        <f t="shared" si="39"/>
        <v>115.75991924383561</v>
      </c>
      <c r="Q61" s="20">
        <f t="shared" si="39"/>
        <v>121.5479152060274</v>
      </c>
    </row>
    <row r="62" spans="2:17" ht="15" outlineLevel="1">
      <c r="B62" s="72" t="s">
        <v>13</v>
      </c>
      <c r="C62" s="87"/>
      <c r="D62" s="87"/>
      <c r="E62" s="87"/>
      <c r="F62" s="21">
        <f>'RH Financial Report'!C22</f>
        <v>556.75</v>
      </c>
      <c r="G62" s="21">
        <f>'RH Financial Report'!D22</f>
        <v>753.9</v>
      </c>
      <c r="H62" s="21">
        <f>'RH Financial Report'!E22</f>
        <v>823.04</v>
      </c>
      <c r="I62" s="21">
        <f>'RH Financial Report'!F22</f>
        <v>780.53</v>
      </c>
      <c r="J62" s="21">
        <f>'RH Financial Report'!G22</f>
        <v>1040</v>
      </c>
      <c r="K62" s="21">
        <f>'RH Financial Report'!H22</f>
        <v>844.78</v>
      </c>
      <c r="L62" s="20">
        <f t="shared" ref="L62:Q62" si="40">L57/L45*L47</f>
        <v>823.83287671232881</v>
      </c>
      <c r="M62" s="20">
        <f t="shared" si="40"/>
        <v>853.69867397260282</v>
      </c>
      <c r="N62" s="20">
        <f t="shared" si="40"/>
        <v>878.78475616438357</v>
      </c>
      <c r="O62" s="20">
        <f t="shared" si="40"/>
        <v>906.23479636602735</v>
      </c>
      <c r="P62" s="20">
        <f t="shared" si="40"/>
        <v>946.33733981835621</v>
      </c>
      <c r="Q62" s="20">
        <f t="shared" si="40"/>
        <v>952.63178542723972</v>
      </c>
    </row>
    <row r="63" spans="2:17" ht="15" outlineLevel="1">
      <c r="B63" s="72" t="s">
        <v>116</v>
      </c>
      <c r="C63" s="87"/>
      <c r="D63" s="87"/>
      <c r="E63" s="87"/>
      <c r="F63" s="21">
        <f>'RH Financial Report'!C24</f>
        <v>0</v>
      </c>
      <c r="G63" s="21">
        <f>'RH Financial Report'!D24</f>
        <v>0</v>
      </c>
      <c r="H63" s="21">
        <f>'RH Financial Report'!E24</f>
        <v>24.35</v>
      </c>
      <c r="I63" s="21">
        <f>'RH Financial Report'!F24</f>
        <v>42.09</v>
      </c>
      <c r="J63" s="21">
        <f>'RH Financial Report'!G24</f>
        <v>29.59</v>
      </c>
      <c r="K63" s="21">
        <f>'RH Financial Report'!H24</f>
        <v>30.36</v>
      </c>
      <c r="L63" s="20">
        <f t="shared" ref="L63:Q63" si="41">L49*L48</f>
        <v>29.01275</v>
      </c>
      <c r="M63" s="20">
        <f t="shared" si="41"/>
        <v>29.738068749999996</v>
      </c>
      <c r="N63" s="20">
        <f t="shared" si="41"/>
        <v>30.332830125000001</v>
      </c>
      <c r="O63" s="20">
        <f t="shared" si="41"/>
        <v>30.939486727499997</v>
      </c>
      <c r="P63" s="20">
        <f t="shared" si="41"/>
        <v>31.558276462049999</v>
      </c>
      <c r="Q63" s="20">
        <f t="shared" si="41"/>
        <v>32.031650608980748</v>
      </c>
    </row>
    <row r="64" spans="2:17" ht="15" outlineLevel="1">
      <c r="B64" s="72" t="s">
        <v>117</v>
      </c>
      <c r="C64" s="87"/>
      <c r="D64" s="87"/>
      <c r="E64" s="87"/>
      <c r="F64" s="21">
        <f>'RH Financial Report'!C23</f>
        <v>49.53</v>
      </c>
      <c r="G64" s="21">
        <f>'RH Financial Report'!D23</f>
        <v>51.81</v>
      </c>
      <c r="H64" s="21">
        <f>'RH Financial Report'!E23</f>
        <v>31.23</v>
      </c>
      <c r="I64" s="21">
        <f>'RH Financial Report'!F23</f>
        <v>34.14</v>
      </c>
      <c r="J64" s="21">
        <f>'RH Financial Report'!G23</f>
        <v>46.71</v>
      </c>
      <c r="K64" s="21">
        <f>'RH Financial Report'!H23</f>
        <v>47.12</v>
      </c>
      <c r="L64" s="20">
        <f t="shared" ref="L64:Q64" si="42">L50*L46</f>
        <v>43.344000000000001</v>
      </c>
      <c r="M64" s="20">
        <f t="shared" si="42"/>
        <v>45.077759999999998</v>
      </c>
      <c r="N64" s="20">
        <f t="shared" si="42"/>
        <v>46.655481600000002</v>
      </c>
      <c r="O64" s="20">
        <f t="shared" si="42"/>
        <v>48.288423455999997</v>
      </c>
      <c r="P64" s="20">
        <f t="shared" si="42"/>
        <v>50.702844628800001</v>
      </c>
      <c r="Q64" s="20">
        <f t="shared" si="42"/>
        <v>53.237986860240007</v>
      </c>
    </row>
    <row r="65" spans="2:17" ht="15" outlineLevel="1">
      <c r="B65" s="72" t="s">
        <v>23</v>
      </c>
      <c r="C65" s="87"/>
      <c r="D65" s="87"/>
      <c r="E65" s="87"/>
      <c r="F65" s="21">
        <f>'RH Financial Report'!C33</f>
        <v>224.91</v>
      </c>
      <c r="G65" s="21">
        <f>'RH Financial Report'!D33</f>
        <v>242.03</v>
      </c>
      <c r="H65" s="21">
        <f>'RH Financial Report'!E33</f>
        <v>166.08</v>
      </c>
      <c r="I65" s="21">
        <f>'RH Financial Report'!F33</f>
        <v>192.34</v>
      </c>
      <c r="J65" s="21">
        <f>'RH Financial Report'!G33</f>
        <v>245.26</v>
      </c>
      <c r="K65" s="21">
        <f>'RH Financial Report'!H33</f>
        <v>197.74</v>
      </c>
      <c r="L65" s="20">
        <f t="shared" ref="L65:Q65" si="43">L58/L45*L47</f>
        <v>247.14986301369862</v>
      </c>
      <c r="M65" s="20">
        <f t="shared" si="43"/>
        <v>256.10960219178082</v>
      </c>
      <c r="N65" s="20">
        <f t="shared" si="43"/>
        <v>263.63542684931508</v>
      </c>
      <c r="O65" s="20">
        <f t="shared" si="43"/>
        <v>271.87043890980823</v>
      </c>
      <c r="P65" s="20">
        <f t="shared" si="43"/>
        <v>283.90120194550684</v>
      </c>
      <c r="Q65" s="20">
        <f t="shared" si="43"/>
        <v>285.7895356281719</v>
      </c>
    </row>
    <row r="66" spans="2:17" ht="15" outlineLevel="1">
      <c r="B66" s="72" t="s">
        <v>24</v>
      </c>
      <c r="C66" s="87"/>
      <c r="D66" s="87"/>
      <c r="E66" s="87"/>
      <c r="F66" s="21">
        <f>'RH Financial Report'!C34</f>
        <v>84.86</v>
      </c>
      <c r="G66" s="21">
        <f>'RH Financial Report'!D34</f>
        <v>96.86</v>
      </c>
      <c r="H66" s="21">
        <f>'RH Financial Report'!E34</f>
        <v>76.650000000000006</v>
      </c>
      <c r="I66" s="21">
        <f>'RH Financial Report'!F34</f>
        <v>43.84</v>
      </c>
      <c r="J66" s="21">
        <f>'RH Financial Report'!G34</f>
        <v>50.69</v>
      </c>
      <c r="K66" s="21">
        <f>'RH Financial Report'!H34</f>
        <v>54.93</v>
      </c>
      <c r="L66" s="20">
        <f t="shared" ref="L66:Q66" si="44">L51*L47</f>
        <v>40.093200000000003</v>
      </c>
      <c r="M66" s="20">
        <f t="shared" si="44"/>
        <v>41.546668800000006</v>
      </c>
      <c r="N66" s="20">
        <f t="shared" si="44"/>
        <v>42.767524800000004</v>
      </c>
      <c r="O66" s="20">
        <f t="shared" si="44"/>
        <v>44.103426756480005</v>
      </c>
      <c r="P66" s="20">
        <f t="shared" si="44"/>
        <v>46.055083871160008</v>
      </c>
      <c r="Q66" s="20">
        <f t="shared" si="44"/>
        <v>46.361413557459002</v>
      </c>
    </row>
    <row r="67" spans="2:17" ht="15" outlineLevel="1">
      <c r="B67" s="72" t="s">
        <v>25</v>
      </c>
      <c r="C67" s="87"/>
      <c r="D67" s="87"/>
      <c r="E67" s="87"/>
      <c r="F67" s="21">
        <f>'RH Financial Report'!C35</f>
        <v>280.64</v>
      </c>
      <c r="G67" s="21">
        <f>'RH Financial Report'!D35</f>
        <v>387.93</v>
      </c>
      <c r="H67" s="21">
        <f>'RH Financial Report'!E35</f>
        <v>325.75</v>
      </c>
      <c r="I67" s="21">
        <f>'RH Financial Report'!F35</f>
        <v>282.81</v>
      </c>
      <c r="J67" s="21">
        <f>'RH Financial Report'!G35</f>
        <v>291.81</v>
      </c>
      <c r="K67" s="21">
        <f>'RH Financial Report'!H35</f>
        <v>356.64</v>
      </c>
      <c r="L67" s="20">
        <f t="shared" ref="L67:Q67" si="45">L52*L46</f>
        <v>361.20000000000005</v>
      </c>
      <c r="M67" s="20">
        <f t="shared" si="45"/>
        <v>375.64800000000002</v>
      </c>
      <c r="N67" s="20">
        <f t="shared" si="45"/>
        <v>388.79568</v>
      </c>
      <c r="O67" s="20">
        <f t="shared" si="45"/>
        <v>402.4035288</v>
      </c>
      <c r="P67" s="20">
        <f t="shared" si="45"/>
        <v>422.52370524000003</v>
      </c>
      <c r="Q67" s="20">
        <f t="shared" si="45"/>
        <v>443.64989050200006</v>
      </c>
    </row>
    <row r="68" spans="2:17" ht="15" outlineLevel="1">
      <c r="B68" s="72" t="s">
        <v>26</v>
      </c>
      <c r="C68" s="87"/>
      <c r="D68" s="87"/>
      <c r="E68" s="87"/>
      <c r="F68" s="21">
        <f>'RH Financial Report'!C36</f>
        <v>172.74</v>
      </c>
      <c r="G68" s="21">
        <f>'RH Financial Report'!D36</f>
        <v>169.61</v>
      </c>
      <c r="H68" s="21">
        <f>'RH Financial Report'!E36</f>
        <v>192.24</v>
      </c>
      <c r="I68" s="21">
        <f>'RH Financial Report'!F36</f>
        <v>181.03</v>
      </c>
      <c r="J68" s="21">
        <f>'RH Financial Report'!G36</f>
        <v>165.06</v>
      </c>
      <c r="K68" s="21">
        <f>'RH Financial Report'!H36</f>
        <v>161.86000000000001</v>
      </c>
      <c r="L68" s="20">
        <f t="shared" ref="L68:Q68" si="46">L53*L46</f>
        <v>180.60000000000002</v>
      </c>
      <c r="M68" s="20">
        <f t="shared" si="46"/>
        <v>187.82400000000001</v>
      </c>
      <c r="N68" s="20">
        <f t="shared" si="46"/>
        <v>194.39784</v>
      </c>
      <c r="O68" s="20">
        <f t="shared" si="46"/>
        <v>201.2017644</v>
      </c>
      <c r="P68" s="20">
        <f t="shared" si="46"/>
        <v>211.26185262000001</v>
      </c>
      <c r="Q68" s="20">
        <f t="shared" si="46"/>
        <v>221.82494525100003</v>
      </c>
    </row>
    <row r="69" spans="2:17" ht="15" outlineLevel="1">
      <c r="B69" s="72"/>
      <c r="C69" s="87"/>
      <c r="D69" s="87"/>
      <c r="E69" s="87"/>
      <c r="F69" s="21"/>
      <c r="G69" s="21"/>
      <c r="H69" s="21"/>
      <c r="I69" s="21"/>
      <c r="J69" s="21"/>
      <c r="K69" s="21"/>
      <c r="L69" s="20"/>
      <c r="M69" s="20"/>
      <c r="N69" s="20"/>
      <c r="O69" s="2"/>
      <c r="P69" s="2"/>
      <c r="Q69" s="2"/>
    </row>
    <row r="70" spans="2:17" ht="15" outlineLevel="1">
      <c r="B70" s="93" t="s">
        <v>110</v>
      </c>
      <c r="C70" s="92"/>
      <c r="D70" s="87"/>
      <c r="E70" s="87"/>
      <c r="F70" s="18"/>
      <c r="G70" s="18"/>
      <c r="H70" s="18"/>
      <c r="I70" s="225"/>
      <c r="J70" s="225"/>
      <c r="K70" s="225"/>
      <c r="L70" s="225"/>
      <c r="M70" s="225"/>
      <c r="N70" s="225"/>
      <c r="O70" s="2"/>
      <c r="P70" s="2"/>
      <c r="Q70" s="2"/>
    </row>
    <row r="71" spans="2:17" ht="15" outlineLevel="1">
      <c r="B71" s="72" t="s">
        <v>111</v>
      </c>
      <c r="C71" s="87"/>
      <c r="D71" s="87"/>
      <c r="E71" s="87"/>
      <c r="F71" s="20">
        <f t="shared" ref="F71:N71" si="47">SUM(F61:F64)</f>
        <v>679.31999999999994</v>
      </c>
      <c r="G71" s="20">
        <f t="shared" si="47"/>
        <v>887.37999999999988</v>
      </c>
      <c r="H71" s="20">
        <f t="shared" si="47"/>
        <v>974.37</v>
      </c>
      <c r="I71" s="20">
        <f t="shared" si="47"/>
        <v>950.36</v>
      </c>
      <c r="J71" s="20">
        <f t="shared" si="47"/>
        <v>1230.72</v>
      </c>
      <c r="K71" s="20">
        <f t="shared" si="47"/>
        <v>1043.2</v>
      </c>
      <c r="L71" s="20">
        <f t="shared" si="47"/>
        <v>995.14853082191792</v>
      </c>
      <c r="M71" s="20">
        <f t="shared" si="47"/>
        <v>1031.4317629965753</v>
      </c>
      <c r="N71" s="20">
        <f t="shared" si="47"/>
        <v>1062.2924322729452</v>
      </c>
      <c r="O71" s="20">
        <f t="shared" ref="O71:P71" si="48">SUM(O61:O64)</f>
        <v>1095.7102486865135</v>
      </c>
      <c r="P71" s="20">
        <f t="shared" si="48"/>
        <v>1144.3583801530417</v>
      </c>
      <c r="Q71" s="20">
        <f t="shared" ref="Q71" si="49">SUM(Q61:Q64)</f>
        <v>1159.4493381024879</v>
      </c>
    </row>
    <row r="72" spans="2:17" ht="15" outlineLevel="1">
      <c r="B72" s="72" t="s">
        <v>112</v>
      </c>
      <c r="C72" s="87"/>
      <c r="D72" s="87"/>
      <c r="E72" s="87"/>
      <c r="F72" s="22">
        <f t="shared" ref="F72:N72" si="50">SUM(F65:F68)</f>
        <v>763.15</v>
      </c>
      <c r="G72" s="22">
        <f t="shared" si="50"/>
        <v>896.43</v>
      </c>
      <c r="H72" s="22">
        <f t="shared" si="50"/>
        <v>760.72</v>
      </c>
      <c r="I72" s="22">
        <f t="shared" si="50"/>
        <v>700.02</v>
      </c>
      <c r="J72" s="22">
        <f t="shared" si="50"/>
        <v>752.81999999999994</v>
      </c>
      <c r="K72" s="22">
        <f t="shared" si="50"/>
        <v>771.17</v>
      </c>
      <c r="L72" s="22">
        <f t="shared" si="50"/>
        <v>829.04306301369877</v>
      </c>
      <c r="M72" s="22">
        <f t="shared" si="50"/>
        <v>861.12827099178094</v>
      </c>
      <c r="N72" s="22">
        <f t="shared" si="50"/>
        <v>889.59647164931505</v>
      </c>
      <c r="O72" s="22">
        <f t="shared" ref="O72:P72" si="51">SUM(O65:O68)</f>
        <v>919.57915886628825</v>
      </c>
      <c r="P72" s="22">
        <f t="shared" si="51"/>
        <v>963.74184367666692</v>
      </c>
      <c r="Q72" s="22">
        <f t="shared" ref="Q72" si="52">SUM(Q65:Q68)</f>
        <v>997.625784938631</v>
      </c>
    </row>
    <row r="73" spans="2:17" ht="15" outlineLevel="1">
      <c r="B73" s="72" t="s">
        <v>113</v>
      </c>
      <c r="C73" s="87"/>
      <c r="D73" s="87"/>
      <c r="E73" s="87"/>
      <c r="F73" s="20">
        <f>F71-F72</f>
        <v>-83.830000000000041</v>
      </c>
      <c r="G73" s="20">
        <f t="shared" ref="G73:N73" si="53">G71-G72</f>
        <v>-9.0500000000000682</v>
      </c>
      <c r="H73" s="20">
        <f t="shared" si="53"/>
        <v>213.64999999999998</v>
      </c>
      <c r="I73" s="20">
        <f t="shared" si="53"/>
        <v>250.34000000000003</v>
      </c>
      <c r="J73" s="20">
        <f t="shared" si="53"/>
        <v>477.90000000000009</v>
      </c>
      <c r="K73" s="20">
        <f t="shared" si="53"/>
        <v>272.03000000000009</v>
      </c>
      <c r="L73" s="20">
        <f t="shared" si="53"/>
        <v>166.10546780821915</v>
      </c>
      <c r="M73" s="20">
        <f>M71-M72</f>
        <v>170.30349200479441</v>
      </c>
      <c r="N73" s="20">
        <f t="shared" si="53"/>
        <v>172.69596062363019</v>
      </c>
      <c r="O73" s="20">
        <f t="shared" ref="O73:P73" si="54">O71-O72</f>
        <v>176.13108982022527</v>
      </c>
      <c r="P73" s="20">
        <f t="shared" si="54"/>
        <v>180.61653647637479</v>
      </c>
      <c r="Q73" s="20">
        <f t="shared" ref="Q73" si="55">Q71-Q72</f>
        <v>161.8235531638569</v>
      </c>
    </row>
    <row r="74" spans="2:17" ht="15" outlineLevel="1">
      <c r="B74" s="56"/>
      <c r="C74" s="92"/>
      <c r="D74" s="87"/>
      <c r="E74" s="87"/>
      <c r="F74" s="18"/>
      <c r="G74" s="18"/>
      <c r="H74" s="18"/>
      <c r="I74" s="225"/>
      <c r="J74" s="225"/>
      <c r="K74" s="225"/>
      <c r="L74" s="225"/>
      <c r="M74" s="225"/>
      <c r="N74" s="225"/>
      <c r="O74" s="225"/>
      <c r="P74" s="225"/>
      <c r="Q74" s="225"/>
    </row>
    <row r="75" spans="2:17" ht="15" outlineLevel="1">
      <c r="B75" s="56"/>
      <c r="C75" s="92"/>
      <c r="D75" s="87"/>
      <c r="E75" s="87"/>
      <c r="F75" s="18"/>
      <c r="G75" s="18"/>
      <c r="H75" s="18"/>
      <c r="I75" s="225"/>
      <c r="J75" s="225"/>
      <c r="K75" s="225"/>
      <c r="L75" s="225"/>
      <c r="M75" s="225"/>
      <c r="N75" s="225"/>
      <c r="O75" s="225"/>
      <c r="P75" s="225"/>
      <c r="Q75" s="225"/>
    </row>
    <row r="76" spans="2:17" ht="17" outlineLevel="1" thickBot="1">
      <c r="B76" s="97" t="s">
        <v>114</v>
      </c>
      <c r="C76" s="92"/>
      <c r="D76" s="92"/>
      <c r="E76" s="92"/>
      <c r="F76" s="15"/>
      <c r="G76" s="230">
        <f>F73-G73</f>
        <v>-74.779999999999973</v>
      </c>
      <c r="H76" s="230">
        <f t="shared" ref="H76:N76" si="56">G73-H73</f>
        <v>-222.70000000000005</v>
      </c>
      <c r="I76" s="230">
        <f t="shared" si="56"/>
        <v>-36.690000000000055</v>
      </c>
      <c r="J76" s="230">
        <f t="shared" si="56"/>
        <v>-227.56000000000006</v>
      </c>
      <c r="K76" s="230">
        <f t="shared" si="56"/>
        <v>205.87</v>
      </c>
      <c r="L76" s="230">
        <f>K73-L73</f>
        <v>105.92453219178094</v>
      </c>
      <c r="M76" s="230">
        <f>L73-M73</f>
        <v>-4.1980241965752612</v>
      </c>
      <c r="N76" s="230">
        <f t="shared" si="56"/>
        <v>-2.3924686188357782</v>
      </c>
      <c r="O76" s="230">
        <f t="shared" ref="O76" si="57">N73-O73</f>
        <v>-3.435129196595085</v>
      </c>
      <c r="P76" s="230">
        <f t="shared" ref="P76:Q76" si="58">O73-P73</f>
        <v>-4.4854466561495201</v>
      </c>
      <c r="Q76" s="230">
        <f t="shared" si="58"/>
        <v>18.79298331251789</v>
      </c>
    </row>
    <row r="78" spans="2:17" ht="22">
      <c r="B78" s="231" t="s">
        <v>82</v>
      </c>
      <c r="C78" s="215"/>
      <c r="D78" s="215"/>
      <c r="E78" s="215"/>
      <c r="F78" s="215"/>
      <c r="G78" s="215"/>
      <c r="H78" s="215"/>
      <c r="I78" s="215"/>
      <c r="J78" s="215"/>
      <c r="K78" s="215"/>
      <c r="L78" s="215"/>
      <c r="M78" s="215"/>
      <c r="N78" s="215"/>
      <c r="O78" s="215"/>
      <c r="P78" s="215"/>
      <c r="Q78" s="215"/>
    </row>
    <row r="80" spans="2:17" ht="14.5" outlineLevel="1" thickBot="1">
      <c r="B80" s="106" t="s">
        <v>324</v>
      </c>
      <c r="F80" s="232">
        <v>2020</v>
      </c>
      <c r="G80" s="232">
        <f>F80+1</f>
        <v>2021</v>
      </c>
      <c r="H80" s="232">
        <f t="shared" ref="H80:P80" si="59">G80+1</f>
        <v>2022</v>
      </c>
      <c r="I80" s="232">
        <f t="shared" si="59"/>
        <v>2023</v>
      </c>
      <c r="J80" s="232">
        <f t="shared" si="59"/>
        <v>2024</v>
      </c>
      <c r="K80" s="232">
        <f t="shared" si="59"/>
        <v>2025</v>
      </c>
      <c r="L80" s="233">
        <f t="shared" si="59"/>
        <v>2026</v>
      </c>
      <c r="M80" s="233">
        <f t="shared" si="59"/>
        <v>2027</v>
      </c>
      <c r="N80" s="233">
        <f t="shared" si="59"/>
        <v>2028</v>
      </c>
      <c r="O80" s="233">
        <f t="shared" si="59"/>
        <v>2029</v>
      </c>
      <c r="P80" s="233">
        <f t="shared" si="59"/>
        <v>2030</v>
      </c>
      <c r="Q80" s="234" t="s">
        <v>174</v>
      </c>
    </row>
    <row r="81" spans="2:17" outlineLevel="1"/>
    <row r="82" spans="2:17" outlineLevel="1">
      <c r="B82" s="6" t="s">
        <v>64</v>
      </c>
      <c r="F82" s="40">
        <f t="shared" ref="F82:K82" si="60">F83/F7</f>
        <v>3.899298245614035E-2</v>
      </c>
      <c r="G82" s="40">
        <f t="shared" si="60"/>
        <v>4.93031914893617E-2</v>
      </c>
      <c r="H82" s="40">
        <f t="shared" si="60"/>
        <v>4.8367688022284118E-2</v>
      </c>
      <c r="I82" s="40">
        <f t="shared" si="60"/>
        <v>8.8897689768976898E-2</v>
      </c>
      <c r="J82" s="40">
        <f t="shared" si="60"/>
        <v>7.2575471698113209E-2</v>
      </c>
      <c r="K82" s="40">
        <f t="shared" si="60"/>
        <v>5.8994186046511625E-2</v>
      </c>
      <c r="L82" s="3">
        <f>'DCF Inputs'!G20</f>
        <v>0.06</v>
      </c>
      <c r="M82" s="3">
        <f>'DCF Inputs'!H20</f>
        <v>5.8000000000000003E-2</v>
      </c>
      <c r="N82" s="3">
        <f>'DCF Inputs'!I20</f>
        <v>5.5E-2</v>
      </c>
      <c r="O82" s="3">
        <f>'DCF Inputs'!J20</f>
        <v>5.2999999999999999E-2</v>
      </c>
      <c r="P82" s="3">
        <f>'DCF Inputs'!K20</f>
        <v>0.05</v>
      </c>
      <c r="Q82" s="3">
        <f>'DCF Inputs'!L20</f>
        <v>4.7E-2</v>
      </c>
    </row>
    <row r="83" spans="2:17" ht="15" outlineLevel="1">
      <c r="B83" s="39" t="s">
        <v>83</v>
      </c>
      <c r="F83" s="509">
        <f>'RH Financial Report'!C57*-1</f>
        <v>111.13</v>
      </c>
      <c r="G83" s="509">
        <f>'RH Financial Report'!D57*-1</f>
        <v>185.38</v>
      </c>
      <c r="H83" s="509">
        <f>'RH Financial Report'!E57*-1</f>
        <v>173.64</v>
      </c>
      <c r="I83" s="509">
        <f>'RH Financial Report'!F57*-1</f>
        <v>269.36</v>
      </c>
      <c r="J83" s="509">
        <f>'RH Financial Report'!G57*-1</f>
        <v>230.79</v>
      </c>
      <c r="K83" s="509">
        <f>'RH Financial Report'!H57*-1</f>
        <v>202.94</v>
      </c>
      <c r="L83" s="510">
        <f t="shared" ref="L83:Q83" si="61">L7*L82</f>
        <v>216.72</v>
      </c>
      <c r="M83" s="510">
        <f t="shared" si="61"/>
        <v>217.87584000000001</v>
      </c>
      <c r="N83" s="510">
        <f t="shared" si="61"/>
        <v>213.83762400000001</v>
      </c>
      <c r="O83" s="510">
        <f t="shared" si="61"/>
        <v>213.27387026399998</v>
      </c>
      <c r="P83" s="510">
        <f t="shared" si="61"/>
        <v>211.26185262000001</v>
      </c>
      <c r="Q83" s="510">
        <f t="shared" si="61"/>
        <v>208.51544853594001</v>
      </c>
    </row>
    <row r="84" spans="2:17" outlineLevel="1"/>
    <row r="85" spans="2:17" ht="20.5" outlineLevel="1">
      <c r="B85" s="41" t="s">
        <v>377</v>
      </c>
      <c r="C85" s="12"/>
      <c r="D85" s="42" t="s">
        <v>84</v>
      </c>
      <c r="E85" s="9"/>
      <c r="F85" s="9"/>
      <c r="G85" s="9"/>
      <c r="H85" s="9"/>
      <c r="L85" s="43" t="s">
        <v>85</v>
      </c>
      <c r="M85" s="44"/>
      <c r="N85" s="44"/>
      <c r="O85" s="44"/>
      <c r="P85" s="45"/>
    </row>
    <row r="86" spans="2:17" ht="20.5" outlineLevel="1">
      <c r="B86" s="46" t="s">
        <v>86</v>
      </c>
      <c r="C86" s="47"/>
      <c r="D86" s="48">
        <f>'DCF Inputs'!G45</f>
        <v>16</v>
      </c>
      <c r="E86" s="9"/>
      <c r="F86" s="49"/>
      <c r="G86" s="9"/>
      <c r="H86" s="9"/>
      <c r="L86" s="50">
        <v>1</v>
      </c>
      <c r="M86" s="50">
        <f>L86+1</f>
        <v>2</v>
      </c>
      <c r="N86" s="50">
        <f>M86+1</f>
        <v>3</v>
      </c>
      <c r="O86" s="50">
        <f>N86+1</f>
        <v>4</v>
      </c>
      <c r="P86" s="50">
        <f>O86+1</f>
        <v>5</v>
      </c>
    </row>
    <row r="87" spans="2:17" ht="20.5" outlineLevel="1">
      <c r="B87" s="8" t="str">
        <f>CONCATENATE("PP&amp;E at End of ",K80)</f>
        <v>PP&amp;E at End of 2025</v>
      </c>
      <c r="C87" s="51"/>
      <c r="D87" s="52">
        <f>'RH Financial Report'!H27</f>
        <v>3110</v>
      </c>
      <c r="E87" s="9"/>
      <c r="F87" s="49"/>
      <c r="G87" s="9"/>
      <c r="H87" s="9"/>
      <c r="I87" s="9"/>
      <c r="L87" s="53">
        <f>MIN($D86-SUM($K87:K87),1)</f>
        <v>1</v>
      </c>
      <c r="M87" s="53">
        <f>MIN($D86-SUM($K87:L87),1)</f>
        <v>1</v>
      </c>
      <c r="N87" s="53">
        <f>MIN($D86-SUM($K87:M87),1)</f>
        <v>1</v>
      </c>
      <c r="O87" s="53">
        <f>MIN($D86-SUM($K87:N87),1)</f>
        <v>1</v>
      </c>
      <c r="P87" s="53">
        <f>MIN($D86-SUM($K87:O87),1)</f>
        <v>1</v>
      </c>
    </row>
    <row r="88" spans="2:17" outlineLevel="1"/>
    <row r="89" spans="2:17" ht="20.5" outlineLevel="1">
      <c r="B89" s="41" t="s">
        <v>378</v>
      </c>
      <c r="C89" s="12"/>
      <c r="D89" s="42" t="s">
        <v>84</v>
      </c>
      <c r="L89" s="43" t="s">
        <v>85</v>
      </c>
      <c r="M89" s="44"/>
      <c r="N89" s="44"/>
      <c r="O89" s="44"/>
      <c r="P89" s="45"/>
    </row>
    <row r="90" spans="2:17" ht="20.5" outlineLevel="1">
      <c r="B90" s="46" t="s">
        <v>87</v>
      </c>
      <c r="C90" s="47"/>
      <c r="D90" s="54">
        <f>'DCF Inputs'!G46</f>
        <v>20</v>
      </c>
      <c r="L90" s="50">
        <v>1</v>
      </c>
      <c r="M90" s="50">
        <f>L90+1</f>
        <v>2</v>
      </c>
      <c r="N90" s="50">
        <f>M90+1</f>
        <v>3</v>
      </c>
      <c r="O90" s="50">
        <f>N90+1</f>
        <v>4</v>
      </c>
      <c r="P90" s="50">
        <f>O90+1</f>
        <v>5</v>
      </c>
    </row>
    <row r="91" spans="2:17" ht="20.5" outlineLevel="1">
      <c r="B91" s="8" t="s">
        <v>88</v>
      </c>
      <c r="C91" s="51"/>
      <c r="D91" s="55">
        <f>'DCF Inputs'!G44</f>
        <v>0.4</v>
      </c>
      <c r="L91" s="426">
        <f>IF(K91="",D91,MIN($D90-SUM($D91:D91),1))</f>
        <v>0.4</v>
      </c>
      <c r="M91" s="427">
        <f>IF(L91="",E91,MIN($D90-SUM($D91:E91),1))</f>
        <v>1</v>
      </c>
      <c r="N91" s="427">
        <f>IF(M91="",F91,MIN($D90-SUM($D91:F91),1))</f>
        <v>1</v>
      </c>
      <c r="O91" s="427">
        <f>IF(N91="",G91,MIN($D90-SUM($D91:G91),1))</f>
        <v>1</v>
      </c>
      <c r="P91" s="428">
        <f>IF(O91="",H91,MIN($D90-SUM($D91:H91),1))</f>
        <v>1</v>
      </c>
    </row>
    <row r="92" spans="2:17" outlineLevel="1"/>
    <row r="93" spans="2:17" outlineLevel="1"/>
    <row r="94" spans="2:17" ht="15" outlineLevel="1">
      <c r="I94" s="56" t="s">
        <v>89</v>
      </c>
      <c r="J94" s="56" t="s">
        <v>90</v>
      </c>
      <c r="K94" s="9"/>
      <c r="L94" s="57">
        <f>L80</f>
        <v>2026</v>
      </c>
      <c r="M94" s="57">
        <f>M80</f>
        <v>2027</v>
      </c>
      <c r="N94" s="57">
        <f>N80</f>
        <v>2028</v>
      </c>
      <c r="O94" s="57">
        <f>O80</f>
        <v>2029</v>
      </c>
      <c r="P94" s="57">
        <f>P80</f>
        <v>2030</v>
      </c>
    </row>
    <row r="95" spans="2:17" ht="15" outlineLevel="1">
      <c r="I95" s="430">
        <f>L80</f>
        <v>2026</v>
      </c>
      <c r="J95" s="431">
        <f>$D$90</f>
        <v>20</v>
      </c>
      <c r="K95" s="432"/>
      <c r="L95" s="59">
        <f>L91</f>
        <v>0.4</v>
      </c>
      <c r="M95" s="59">
        <f>M91</f>
        <v>1</v>
      </c>
      <c r="N95" s="59">
        <f>N91</f>
        <v>1</v>
      </c>
      <c r="O95" s="59">
        <f>O91</f>
        <v>1</v>
      </c>
      <c r="P95" s="59">
        <f>P91</f>
        <v>1</v>
      </c>
    </row>
    <row r="96" spans="2:17" ht="15" outlineLevel="1">
      <c r="I96" s="433">
        <f>I95+1</f>
        <v>2027</v>
      </c>
      <c r="J96" s="429">
        <f>$D$90</f>
        <v>20</v>
      </c>
      <c r="K96" s="434"/>
      <c r="L96" s="61">
        <f t="shared" ref="L96:P99" si="62">K95</f>
        <v>0</v>
      </c>
      <c r="M96" s="61">
        <f t="shared" si="62"/>
        <v>0.4</v>
      </c>
      <c r="N96" s="61">
        <f t="shared" si="62"/>
        <v>1</v>
      </c>
      <c r="O96" s="61">
        <f t="shared" si="62"/>
        <v>1</v>
      </c>
      <c r="P96" s="62">
        <f t="shared" si="62"/>
        <v>1</v>
      </c>
    </row>
    <row r="97" spans="5:16" ht="15" outlineLevel="1">
      <c r="I97" s="433">
        <f>I96+1</f>
        <v>2028</v>
      </c>
      <c r="J97" s="429">
        <f>$D$90</f>
        <v>20</v>
      </c>
      <c r="K97" s="434"/>
      <c r="L97" s="61">
        <f t="shared" si="62"/>
        <v>0</v>
      </c>
      <c r="M97" s="61">
        <f t="shared" si="62"/>
        <v>0</v>
      </c>
      <c r="N97" s="61">
        <f t="shared" si="62"/>
        <v>0.4</v>
      </c>
      <c r="O97" s="61">
        <f t="shared" si="62"/>
        <v>1</v>
      </c>
      <c r="P97" s="62">
        <f t="shared" si="62"/>
        <v>1</v>
      </c>
    </row>
    <row r="98" spans="5:16" ht="15" outlineLevel="1">
      <c r="I98" s="433">
        <f>I97+1</f>
        <v>2029</v>
      </c>
      <c r="J98" s="429">
        <f>$D$90</f>
        <v>20</v>
      </c>
      <c r="K98" s="434"/>
      <c r="L98" s="61">
        <f>K97</f>
        <v>0</v>
      </c>
      <c r="M98" s="61">
        <f t="shared" si="62"/>
        <v>0</v>
      </c>
      <c r="N98" s="61">
        <f t="shared" si="62"/>
        <v>0</v>
      </c>
      <c r="O98" s="61">
        <f t="shared" si="62"/>
        <v>0.4</v>
      </c>
      <c r="P98" s="62">
        <f t="shared" si="62"/>
        <v>1</v>
      </c>
    </row>
    <row r="99" spans="5:16" ht="15" outlineLevel="1">
      <c r="I99" s="435">
        <f>I98+1</f>
        <v>2030</v>
      </c>
      <c r="J99" s="436">
        <f>$D$90</f>
        <v>20</v>
      </c>
      <c r="K99" s="437"/>
      <c r="L99" s="64">
        <f t="shared" si="62"/>
        <v>0</v>
      </c>
      <c r="M99" s="64">
        <f t="shared" si="62"/>
        <v>0</v>
      </c>
      <c r="N99" s="64">
        <f t="shared" si="62"/>
        <v>0</v>
      </c>
      <c r="O99" s="64">
        <f t="shared" si="62"/>
        <v>0</v>
      </c>
      <c r="P99" s="65">
        <f t="shared" si="62"/>
        <v>0.4</v>
      </c>
    </row>
    <row r="100" spans="5:16" ht="15" outlineLevel="1">
      <c r="I100" s="9"/>
      <c r="J100" s="9"/>
      <c r="K100" s="9"/>
      <c r="L100" s="66"/>
      <c r="M100" s="66"/>
      <c r="N100" s="66"/>
      <c r="O100" s="66"/>
      <c r="P100" s="66"/>
    </row>
    <row r="101" spans="5:16" ht="20.5" outlineLevel="1">
      <c r="I101" s="9"/>
      <c r="J101" s="9"/>
      <c r="K101" s="9"/>
      <c r="L101" s="43" t="s">
        <v>91</v>
      </c>
      <c r="M101" s="44"/>
      <c r="N101" s="44"/>
      <c r="O101" s="44"/>
      <c r="P101" s="45"/>
    </row>
    <row r="102" spans="5:16" ht="15" outlineLevel="1">
      <c r="I102" s="56" t="s">
        <v>89</v>
      </c>
      <c r="J102" s="56" t="s">
        <v>92</v>
      </c>
      <c r="K102" s="56" t="s">
        <v>93</v>
      </c>
      <c r="L102" s="57">
        <f>L94</f>
        <v>2026</v>
      </c>
      <c r="M102" s="57">
        <f t="shared" ref="M102:P102" si="63">M94</f>
        <v>2027</v>
      </c>
      <c r="N102" s="57">
        <f t="shared" si="63"/>
        <v>2028</v>
      </c>
      <c r="O102" s="57">
        <f t="shared" si="63"/>
        <v>2029</v>
      </c>
      <c r="P102" s="57">
        <f t="shared" si="63"/>
        <v>2030</v>
      </c>
    </row>
    <row r="103" spans="5:16" ht="15" outlineLevel="1">
      <c r="I103" s="58">
        <f>I95</f>
        <v>2026</v>
      </c>
      <c r="J103" s="67">
        <f>SUMIF($L$80:$P$80,I103,$L$83:$P$83)</f>
        <v>216.72</v>
      </c>
      <c r="K103" s="68">
        <f>J103/J95</f>
        <v>10.836</v>
      </c>
      <c r="L103" s="440">
        <f t="shared" ref="L103:P107" si="64">L95*$K$103</f>
        <v>4.3344000000000005</v>
      </c>
      <c r="M103" s="69">
        <f t="shared" si="64"/>
        <v>10.836</v>
      </c>
      <c r="N103" s="69">
        <f t="shared" si="64"/>
        <v>10.836</v>
      </c>
      <c r="O103" s="69">
        <f t="shared" si="64"/>
        <v>10.836</v>
      </c>
      <c r="P103" s="441">
        <f t="shared" si="64"/>
        <v>10.836</v>
      </c>
    </row>
    <row r="104" spans="5:16" ht="15" outlineLevel="1">
      <c r="I104" s="60">
        <f>I96</f>
        <v>2027</v>
      </c>
      <c r="J104" s="438">
        <f>SUMIF($L$80:$P$80,I104,$L$83:$P$83)</f>
        <v>217.87584000000001</v>
      </c>
      <c r="K104" s="70">
        <f>J104/J96</f>
        <v>10.893792000000001</v>
      </c>
      <c r="L104" s="442">
        <f t="shared" si="64"/>
        <v>0</v>
      </c>
      <c r="M104" s="170">
        <f t="shared" si="64"/>
        <v>4.3344000000000005</v>
      </c>
      <c r="N104" s="170">
        <f t="shared" si="64"/>
        <v>10.836</v>
      </c>
      <c r="O104" s="170">
        <f t="shared" si="64"/>
        <v>10.836</v>
      </c>
      <c r="P104" s="443">
        <f t="shared" si="64"/>
        <v>10.836</v>
      </c>
    </row>
    <row r="105" spans="5:16" ht="15" outlineLevel="1">
      <c r="I105" s="60">
        <f>I97</f>
        <v>2028</v>
      </c>
      <c r="J105" s="438">
        <f>SUMIF($L$80:$P$80,I105,$L$83:$P$83)</f>
        <v>213.83762400000001</v>
      </c>
      <c r="K105" s="70">
        <f>J105/J97</f>
        <v>10.691881200000001</v>
      </c>
      <c r="L105" s="442">
        <f t="shared" si="64"/>
        <v>0</v>
      </c>
      <c r="M105" s="170">
        <f t="shared" si="64"/>
        <v>0</v>
      </c>
      <c r="N105" s="170">
        <f t="shared" si="64"/>
        <v>4.3344000000000005</v>
      </c>
      <c r="O105" s="170">
        <f t="shared" si="64"/>
        <v>10.836</v>
      </c>
      <c r="P105" s="443">
        <f t="shared" si="64"/>
        <v>10.836</v>
      </c>
    </row>
    <row r="106" spans="5:16" ht="15" outlineLevel="1">
      <c r="I106" s="60">
        <f>I98</f>
        <v>2029</v>
      </c>
      <c r="J106" s="438">
        <f>SUMIF($L$80:$P$80,I106,$L$83:$P$83)</f>
        <v>213.27387026399998</v>
      </c>
      <c r="K106" s="70">
        <f>J106/J98</f>
        <v>10.663693513199998</v>
      </c>
      <c r="L106" s="442">
        <f t="shared" si="64"/>
        <v>0</v>
      </c>
      <c r="M106" s="170">
        <f t="shared" si="64"/>
        <v>0</v>
      </c>
      <c r="N106" s="170">
        <f t="shared" si="64"/>
        <v>0</v>
      </c>
      <c r="O106" s="170">
        <f t="shared" si="64"/>
        <v>4.3344000000000005</v>
      </c>
      <c r="P106" s="443">
        <f t="shared" si="64"/>
        <v>10.836</v>
      </c>
    </row>
    <row r="107" spans="5:16" ht="15" outlineLevel="1">
      <c r="I107" s="63">
        <f>I99</f>
        <v>2030</v>
      </c>
      <c r="J107" s="439">
        <f>SUMIF($L$80:$P$80,I107,$L$83:$P$83)</f>
        <v>211.26185262000001</v>
      </c>
      <c r="K107" s="71">
        <f>J107/J99</f>
        <v>10.563092631</v>
      </c>
      <c r="L107" s="444">
        <f t="shared" si="64"/>
        <v>0</v>
      </c>
      <c r="M107" s="445">
        <f t="shared" si="64"/>
        <v>0</v>
      </c>
      <c r="N107" s="445">
        <f t="shared" si="64"/>
        <v>0</v>
      </c>
      <c r="O107" s="445">
        <f t="shared" si="64"/>
        <v>0</v>
      </c>
      <c r="P107" s="446">
        <f t="shared" si="64"/>
        <v>4.3344000000000005</v>
      </c>
    </row>
    <row r="108" spans="5:16" outlineLevel="1"/>
    <row r="109" spans="5:16" ht="15" outlineLevel="1">
      <c r="E109" s="41" t="s">
        <v>379</v>
      </c>
      <c r="F109" s="11"/>
      <c r="G109" s="9"/>
      <c r="H109" s="9"/>
      <c r="I109" s="9"/>
      <c r="J109" s="9"/>
      <c r="K109" s="9"/>
      <c r="L109" s="66"/>
      <c r="M109" s="66"/>
      <c r="N109" s="66"/>
      <c r="O109" s="66"/>
      <c r="P109" s="66"/>
    </row>
    <row r="110" spans="5:16" ht="15" outlineLevel="1">
      <c r="E110" s="72" t="s">
        <v>94</v>
      </c>
      <c r="F110" s="11"/>
      <c r="G110" s="9"/>
      <c r="H110" s="9"/>
      <c r="I110" s="13"/>
      <c r="J110" s="13"/>
      <c r="K110" s="13"/>
      <c r="L110" s="10">
        <f>$D$87/$D$86*L87</f>
        <v>194.375</v>
      </c>
      <c r="M110" s="10">
        <f>$D$87/$D$86*M87</f>
        <v>194.375</v>
      </c>
      <c r="N110" s="10">
        <f>$D$87/$D$86*N87</f>
        <v>194.375</v>
      </c>
      <c r="O110" s="10">
        <f>$D$87/$D$86*O87</f>
        <v>194.375</v>
      </c>
      <c r="P110" s="10">
        <f>$D$87/$D$86*P87</f>
        <v>194.375</v>
      </c>
    </row>
    <row r="111" spans="5:16" ht="15" outlineLevel="1">
      <c r="E111" s="72" t="s">
        <v>95</v>
      </c>
      <c r="F111" s="11"/>
      <c r="G111" s="9"/>
      <c r="H111" s="9"/>
      <c r="I111" s="9"/>
      <c r="J111" s="9"/>
      <c r="K111" s="9"/>
      <c r="L111" s="10">
        <f>SUM(L103:L107)</f>
        <v>4.3344000000000005</v>
      </c>
      <c r="M111" s="10">
        <f>SUM(M103:M107)</f>
        <v>15.170400000000001</v>
      </c>
      <c r="N111" s="10">
        <f>SUM(N103:N107)</f>
        <v>26.006399999999999</v>
      </c>
      <c r="O111" s="10">
        <f>SUM(O103:O107)</f>
        <v>36.842400000000005</v>
      </c>
      <c r="P111" s="10">
        <f>SUM(P103:P107)</f>
        <v>47.678400000000003</v>
      </c>
    </row>
    <row r="112" spans="5:16" ht="17" outlineLevel="1" thickBot="1">
      <c r="E112" s="72" t="s">
        <v>96</v>
      </c>
      <c r="F112" s="11"/>
      <c r="G112" s="15"/>
      <c r="H112" s="9"/>
      <c r="I112" s="9"/>
      <c r="J112" s="9"/>
      <c r="K112" s="9"/>
      <c r="L112" s="16">
        <f>SUM(L110:L111)</f>
        <v>198.70939999999999</v>
      </c>
      <c r="M112" s="16">
        <f>SUM(M110:M111)</f>
        <v>209.5454</v>
      </c>
      <c r="N112" s="16">
        <f>SUM(N110:N111)</f>
        <v>220.38139999999999</v>
      </c>
      <c r="O112" s="16">
        <f>SUM(O110:O111)</f>
        <v>231.2174</v>
      </c>
      <c r="P112" s="16">
        <f>SUM(P110:P111)</f>
        <v>242.05340000000001</v>
      </c>
    </row>
    <row r="114" spans="2:17" ht="22">
      <c r="B114" s="231" t="s">
        <v>128</v>
      </c>
      <c r="C114" s="215"/>
      <c r="D114" s="215"/>
      <c r="E114" s="215"/>
      <c r="F114" s="215"/>
      <c r="G114" s="215"/>
      <c r="H114" s="215"/>
      <c r="I114" s="215"/>
      <c r="J114" s="215"/>
      <c r="K114" s="215"/>
      <c r="L114" s="215"/>
      <c r="M114" s="215"/>
      <c r="N114" s="215"/>
      <c r="O114" s="215"/>
      <c r="P114" s="215"/>
      <c r="Q114" s="215"/>
    </row>
    <row r="116" spans="2:17" ht="15.5" outlineLevel="1" thickBot="1">
      <c r="B116" s="106" t="s">
        <v>324</v>
      </c>
      <c r="C116" s="11"/>
      <c r="D116" s="9"/>
      <c r="E116" s="9"/>
      <c r="F116" s="107"/>
      <c r="G116" s="9"/>
      <c r="L116" s="233">
        <v>2026</v>
      </c>
      <c r="M116" s="233">
        <f t="shared" ref="M116" si="65">L116+1</f>
        <v>2027</v>
      </c>
      <c r="N116" s="233">
        <f t="shared" ref="N116" si="66">M116+1</f>
        <v>2028</v>
      </c>
      <c r="O116" s="233">
        <f t="shared" ref="O116" si="67">N116+1</f>
        <v>2029</v>
      </c>
      <c r="P116" s="233">
        <f t="shared" ref="P116" si="68">O116+1</f>
        <v>2030</v>
      </c>
      <c r="Q116" s="31"/>
    </row>
    <row r="117" spans="2:17" ht="15" outlineLevel="1">
      <c r="B117" s="106"/>
      <c r="C117" s="11"/>
      <c r="D117" s="9"/>
      <c r="E117" s="9"/>
      <c r="F117" s="9"/>
      <c r="G117" s="9"/>
      <c r="L117" s="9"/>
      <c r="M117" s="66"/>
      <c r="N117" s="66"/>
      <c r="O117" s="66"/>
      <c r="P117" s="66"/>
      <c r="Q117" s="66"/>
    </row>
    <row r="118" spans="2:17" ht="15" outlineLevel="1">
      <c r="B118" s="106"/>
      <c r="C118" s="11"/>
      <c r="D118" s="9"/>
      <c r="E118" s="9"/>
      <c r="F118" s="9"/>
      <c r="G118" s="9"/>
      <c r="L118" s="9"/>
      <c r="M118" s="66"/>
      <c r="N118" s="66"/>
      <c r="O118" s="66"/>
      <c r="P118" s="66"/>
      <c r="Q118" s="66"/>
    </row>
    <row r="119" spans="2:17" ht="15" outlineLevel="1">
      <c r="B119" s="108" t="s">
        <v>132</v>
      </c>
      <c r="C119" s="11"/>
      <c r="D119" s="9"/>
      <c r="E119" s="9"/>
      <c r="F119" s="9"/>
      <c r="G119" s="10"/>
      <c r="K119" s="10"/>
      <c r="L119" s="109">
        <f>L83</f>
        <v>216.72</v>
      </c>
      <c r="M119" s="110">
        <f>M83</f>
        <v>217.87584000000001</v>
      </c>
      <c r="N119" s="110">
        <f>N83</f>
        <v>213.83762400000001</v>
      </c>
      <c r="O119" s="110">
        <f>O83</f>
        <v>213.27387026399998</v>
      </c>
      <c r="P119" s="111">
        <f>P83</f>
        <v>211.26185262000001</v>
      </c>
    </row>
    <row r="120" spans="2:17" ht="15" outlineLevel="1">
      <c r="B120" s="106"/>
      <c r="C120" s="11"/>
      <c r="D120" s="9"/>
      <c r="E120" s="9"/>
      <c r="F120" s="9"/>
      <c r="G120" s="9"/>
      <c r="K120" s="9"/>
      <c r="L120" s="66"/>
      <c r="M120" s="66"/>
      <c r="N120" s="66"/>
      <c r="O120" s="66"/>
      <c r="P120" s="66"/>
    </row>
    <row r="121" spans="2:17" ht="20.5" outlineLevel="1">
      <c r="B121" s="112" t="s">
        <v>101</v>
      </c>
      <c r="C121" s="113"/>
      <c r="D121" s="114">
        <f>'DCF Inputs'!G42</f>
        <v>0.5</v>
      </c>
      <c r="E121" s="9"/>
      <c r="F121" s="9"/>
      <c r="G121" s="9"/>
      <c r="K121" s="9"/>
      <c r="L121" s="66"/>
      <c r="M121" s="66"/>
      <c r="N121" s="66"/>
      <c r="O121" s="66"/>
      <c r="P121" s="66"/>
    </row>
    <row r="122" spans="2:17" ht="20.5" outlineLevel="1">
      <c r="B122" s="115" t="s">
        <v>102</v>
      </c>
      <c r="C122" s="51"/>
      <c r="D122" s="55">
        <f>'DCF Inputs'!G43</f>
        <v>0.1</v>
      </c>
      <c r="E122" s="9"/>
      <c r="F122" s="9"/>
      <c r="G122" s="9"/>
      <c r="K122" s="9"/>
      <c r="L122" s="12"/>
      <c r="M122" s="66"/>
      <c r="N122" s="66"/>
      <c r="O122" s="66"/>
      <c r="P122" s="66"/>
    </row>
    <row r="123" spans="2:17" ht="20.5" outlineLevel="1">
      <c r="B123" s="116"/>
      <c r="C123" s="117"/>
      <c r="D123" s="118"/>
      <c r="E123" s="9"/>
      <c r="F123" s="9"/>
      <c r="G123" s="9"/>
      <c r="K123" s="9"/>
      <c r="L123" s="119"/>
      <c r="M123" s="119"/>
      <c r="N123" s="119"/>
      <c r="O123" s="119"/>
      <c r="P123" s="119"/>
    </row>
    <row r="124" spans="2:17" ht="16" outlineLevel="1">
      <c r="B124" s="41" t="s">
        <v>133</v>
      </c>
      <c r="C124" s="11"/>
      <c r="D124" s="9"/>
      <c r="E124" s="9"/>
      <c r="F124" s="9"/>
      <c r="G124" s="9"/>
      <c r="K124" s="9"/>
      <c r="L124" s="66"/>
      <c r="M124" s="66"/>
      <c r="N124" s="66"/>
      <c r="O124" s="66"/>
      <c r="P124" s="66"/>
    </row>
    <row r="125" spans="2:17" ht="15" outlineLevel="1">
      <c r="B125" s="72" t="s">
        <v>134</v>
      </c>
      <c r="C125" s="11"/>
      <c r="D125" s="9"/>
      <c r="E125" s="9"/>
      <c r="F125" s="9"/>
      <c r="G125" s="13"/>
      <c r="K125" s="10"/>
      <c r="L125" s="10">
        <f>K128</f>
        <v>3110</v>
      </c>
      <c r="M125" s="10">
        <f>L128</f>
        <v>3128.0105999999996</v>
      </c>
      <c r="N125" s="10">
        <f>M128</f>
        <v>3136.3410399999998</v>
      </c>
      <c r="O125" s="10">
        <f>N128</f>
        <v>3129.7972639999998</v>
      </c>
      <c r="P125" s="10">
        <f>O128</f>
        <v>3111.8537342639997</v>
      </c>
    </row>
    <row r="126" spans="2:17" ht="15" outlineLevel="1">
      <c r="B126" s="72" t="s">
        <v>132</v>
      </c>
      <c r="C126" s="11"/>
      <c r="D126" s="9"/>
      <c r="E126" s="9"/>
      <c r="F126" s="9"/>
      <c r="G126" s="13"/>
      <c r="K126" s="120"/>
      <c r="L126" s="10">
        <f>L119</f>
        <v>216.72</v>
      </c>
      <c r="M126" s="10">
        <f>M119</f>
        <v>217.87584000000001</v>
      </c>
      <c r="N126" s="10">
        <f>N119</f>
        <v>213.83762400000001</v>
      </c>
      <c r="O126" s="10">
        <f>O119</f>
        <v>213.27387026399998</v>
      </c>
      <c r="P126" s="10">
        <f>P119</f>
        <v>211.26185262000001</v>
      </c>
    </row>
    <row r="127" spans="2:17" ht="15" outlineLevel="1">
      <c r="B127" s="72" t="s">
        <v>135</v>
      </c>
      <c r="C127" s="11"/>
      <c r="D127" s="9"/>
      <c r="E127" s="9"/>
      <c r="F127" s="9"/>
      <c r="G127" s="13"/>
      <c r="K127" s="90"/>
      <c r="L127" s="121">
        <f>L112*-1</f>
        <v>-198.70939999999999</v>
      </c>
      <c r="M127" s="121">
        <f>M112*-1</f>
        <v>-209.5454</v>
      </c>
      <c r="N127" s="121">
        <f>N112*-1</f>
        <v>-220.38139999999999</v>
      </c>
      <c r="O127" s="121">
        <f>O112*-1</f>
        <v>-231.2174</v>
      </c>
      <c r="P127" s="121">
        <f>P112*-1</f>
        <v>-242.05340000000001</v>
      </c>
    </row>
    <row r="128" spans="2:17" ht="15" outlineLevel="1">
      <c r="B128" s="72" t="s">
        <v>136</v>
      </c>
      <c r="C128" s="11"/>
      <c r="D128" s="9"/>
      <c r="E128" s="9"/>
      <c r="F128" s="122"/>
      <c r="G128" s="13"/>
      <c r="K128" s="94">
        <f>D87</f>
        <v>3110</v>
      </c>
      <c r="L128" s="10">
        <f>SUM(L125:L127)</f>
        <v>3128.0105999999996</v>
      </c>
      <c r="M128" s="10">
        <f>SUM(M125:M127)</f>
        <v>3136.3410399999998</v>
      </c>
      <c r="N128" s="10">
        <f>SUM(N125:N127)</f>
        <v>3129.7972639999998</v>
      </c>
      <c r="O128" s="10">
        <f>SUM(O125:O127)</f>
        <v>3111.8537342639997</v>
      </c>
      <c r="P128" s="10">
        <f>SUM(P125:P127)</f>
        <v>3081.0621868839999</v>
      </c>
    </row>
    <row r="129" spans="1:17" ht="15" outlineLevel="1">
      <c r="B129" s="106"/>
      <c r="C129" s="11"/>
      <c r="D129" s="9"/>
      <c r="E129" s="9"/>
      <c r="F129" s="9"/>
      <c r="G129" s="9"/>
      <c r="K129" s="123"/>
      <c r="L129" s="123"/>
      <c r="M129" s="123"/>
      <c r="N129" s="123"/>
      <c r="O129" s="123"/>
      <c r="P129" s="123"/>
    </row>
    <row r="130" spans="1:17" ht="16" outlineLevel="1">
      <c r="B130" s="41" t="s">
        <v>137</v>
      </c>
      <c r="C130" s="11"/>
      <c r="D130" s="9"/>
      <c r="E130" s="9"/>
      <c r="F130" s="9"/>
      <c r="G130" s="9"/>
      <c r="K130" s="123"/>
      <c r="L130" s="123"/>
      <c r="M130" s="123"/>
      <c r="N130" s="123"/>
      <c r="O130" s="123"/>
      <c r="P130" s="123"/>
    </row>
    <row r="131" spans="1:17" ht="15" outlineLevel="1">
      <c r="B131" s="72" t="s">
        <v>134</v>
      </c>
      <c r="C131" s="11"/>
      <c r="D131" s="9"/>
      <c r="E131" s="9"/>
      <c r="F131" s="9"/>
      <c r="G131" s="13"/>
      <c r="K131" s="10"/>
      <c r="L131" s="10">
        <f>K134</f>
        <v>704.95600000000002</v>
      </c>
      <c r="M131" s="10">
        <f>L134</f>
        <v>840.34440000000006</v>
      </c>
      <c r="N131" s="10">
        <f>M134</f>
        <v>963.29200800000012</v>
      </c>
      <c r="O131" s="10">
        <f>N134</f>
        <v>1070.1085500000002</v>
      </c>
      <c r="P131" s="10">
        <f>O134</f>
        <v>1165.7078717508</v>
      </c>
    </row>
    <row r="132" spans="1:17" ht="15" outlineLevel="1">
      <c r="B132" s="72" t="s">
        <v>132</v>
      </c>
      <c r="C132" s="11"/>
      <c r="D132" s="9"/>
      <c r="E132" s="9"/>
      <c r="F132" s="9"/>
      <c r="G132" s="13"/>
      <c r="K132" s="10"/>
      <c r="L132" s="10">
        <f>L126</f>
        <v>216.72</v>
      </c>
      <c r="M132" s="10">
        <f>M126</f>
        <v>217.87584000000001</v>
      </c>
      <c r="N132" s="10">
        <f>N126</f>
        <v>213.83762400000001</v>
      </c>
      <c r="O132" s="10">
        <f>O126</f>
        <v>213.27387026399998</v>
      </c>
      <c r="P132" s="10">
        <f>P126</f>
        <v>211.26185262000001</v>
      </c>
    </row>
    <row r="133" spans="1:17" ht="20.5" outlineLevel="1">
      <c r="B133" s="72" t="s">
        <v>138</v>
      </c>
      <c r="C133" s="12"/>
      <c r="D133" s="12"/>
      <c r="E133" s="12"/>
      <c r="F133" s="12"/>
      <c r="G133" s="12"/>
      <c r="K133" s="124"/>
      <c r="L133" s="90">
        <f>(L131+L132*$D$121)*$D$122*-1</f>
        <v>-81.331600000000009</v>
      </c>
      <c r="M133" s="90">
        <f t="shared" ref="M133:P133" si="69">(M131+M132*$D$121)*$D$122*-1</f>
        <v>-94.928232000000008</v>
      </c>
      <c r="N133" s="90">
        <f t="shared" si="69"/>
        <v>-107.02108200000004</v>
      </c>
      <c r="O133" s="90">
        <f t="shared" si="69"/>
        <v>-117.67454851320002</v>
      </c>
      <c r="P133" s="90">
        <f t="shared" si="69"/>
        <v>-127.13387980608</v>
      </c>
    </row>
    <row r="134" spans="1:17" ht="16.5" outlineLevel="1">
      <c r="B134" s="72" t="s">
        <v>136</v>
      </c>
      <c r="C134" s="11"/>
      <c r="D134" s="15"/>
      <c r="E134" s="9"/>
      <c r="F134" s="125"/>
      <c r="G134" s="13"/>
      <c r="K134" s="94">
        <f>'DCF Inputs'!M43</f>
        <v>704.95600000000002</v>
      </c>
      <c r="L134" s="10">
        <f>SUM(L131:L133)</f>
        <v>840.34440000000006</v>
      </c>
      <c r="M134" s="10">
        <f>SUM(M131:M133)</f>
        <v>963.29200800000012</v>
      </c>
      <c r="N134" s="10">
        <f>SUM(N131:N133)</f>
        <v>1070.1085500000002</v>
      </c>
      <c r="O134" s="10">
        <f>SUM(O131:O133)</f>
        <v>1165.7078717508</v>
      </c>
      <c r="P134" s="10">
        <f>SUM(P131:P133)</f>
        <v>1249.8358445647202</v>
      </c>
    </row>
    <row r="135" spans="1:17" ht="16.5" outlineLevel="1">
      <c r="B135" s="72"/>
      <c r="C135" s="11"/>
      <c r="D135" s="15"/>
      <c r="E135" s="9"/>
      <c r="F135" s="125"/>
      <c r="G135" s="13"/>
      <c r="K135" s="94"/>
      <c r="L135" s="10"/>
      <c r="M135" s="10"/>
      <c r="N135" s="10"/>
      <c r="O135" s="10"/>
      <c r="P135" s="10"/>
    </row>
    <row r="136" spans="1:17" s="145" customFormat="1" ht="22">
      <c r="A136"/>
      <c r="B136" s="231" t="s">
        <v>157</v>
      </c>
      <c r="C136" s="216"/>
      <c r="D136" s="217"/>
      <c r="E136" s="217"/>
      <c r="F136" s="218"/>
      <c r="G136" s="218"/>
      <c r="H136" s="218"/>
      <c r="I136" s="219"/>
      <c r="J136" s="220"/>
      <c r="K136" s="220"/>
      <c r="L136" s="220"/>
      <c r="M136" s="220"/>
      <c r="N136" s="215"/>
      <c r="O136" s="215"/>
      <c r="P136" s="215"/>
      <c r="Q136" s="215"/>
    </row>
    <row r="137" spans="1:17" ht="21" outlineLevel="1" thickBot="1">
      <c r="B137" s="130"/>
      <c r="C137" s="11"/>
      <c r="D137" s="131"/>
      <c r="E137" s="131"/>
      <c r="F137" s="107"/>
      <c r="G137" s="107"/>
      <c r="H137" s="107"/>
      <c r="I137" s="107"/>
      <c r="J137" s="107"/>
      <c r="L137" s="233">
        <v>2026</v>
      </c>
      <c r="M137" s="233">
        <f t="shared" ref="M137" si="70">L137+1</f>
        <v>2027</v>
      </c>
      <c r="N137" s="233">
        <f t="shared" ref="N137" si="71">M137+1</f>
        <v>2028</v>
      </c>
      <c r="O137" s="233">
        <f t="shared" ref="O137" si="72">N137+1</f>
        <v>2029</v>
      </c>
      <c r="P137" s="233">
        <f t="shared" ref="P137" si="73">O137+1</f>
        <v>2030</v>
      </c>
      <c r="Q137" s="31"/>
    </row>
    <row r="138" spans="1:17" ht="15" outlineLevel="1">
      <c r="B138" s="106" t="s">
        <v>324</v>
      </c>
      <c r="C138" s="11"/>
      <c r="D138" s="9"/>
      <c r="E138" s="9"/>
      <c r="F138" s="9"/>
      <c r="G138" s="9"/>
      <c r="L138" s="9"/>
      <c r="M138" s="66"/>
      <c r="N138" s="66"/>
      <c r="O138" s="66"/>
      <c r="P138" s="66"/>
      <c r="Q138" s="66"/>
    </row>
    <row r="139" spans="1:17" ht="15" outlineLevel="1">
      <c r="B139" s="106"/>
      <c r="C139" s="11"/>
      <c r="D139" s="9"/>
      <c r="E139" s="9"/>
      <c r="F139" s="9"/>
      <c r="G139" s="9"/>
      <c r="L139" s="109">
        <f>L33</f>
        <v>96.179369999999835</v>
      </c>
      <c r="M139" s="110">
        <f>M33</f>
        <v>135.20691424999984</v>
      </c>
      <c r="N139" s="110">
        <f>N33</f>
        <v>178.76212133499996</v>
      </c>
      <c r="O139" s="110">
        <f>O33</f>
        <v>220.62914273769957</v>
      </c>
      <c r="P139" s="111">
        <f>P33</f>
        <v>296.28335525493344</v>
      </c>
    </row>
    <row r="140" spans="1:17" ht="15" outlineLevel="1">
      <c r="B140" s="108" t="s">
        <v>158</v>
      </c>
      <c r="C140" s="11"/>
      <c r="D140" s="9"/>
      <c r="E140" s="9"/>
      <c r="F140" s="13"/>
      <c r="G140" s="13"/>
      <c r="L140" s="134">
        <f>IF(L149&gt;0,1,0)</f>
        <v>1</v>
      </c>
      <c r="M140" s="135">
        <f>IF(M149&gt;0,1,0)</f>
        <v>1</v>
      </c>
      <c r="N140" s="135">
        <f>IF(N149&gt;0,1,0)</f>
        <v>1</v>
      </c>
      <c r="O140" s="135">
        <f>IF(O149&gt;0,1,0)</f>
        <v>1</v>
      </c>
      <c r="P140" s="136">
        <f>IF(P149&gt;0,1,0)</f>
        <v>1</v>
      </c>
    </row>
    <row r="141" spans="1:17" ht="15" outlineLevel="1">
      <c r="B141" s="108" t="s">
        <v>141</v>
      </c>
      <c r="C141" s="11"/>
      <c r="D141" s="9"/>
      <c r="E141" s="9"/>
      <c r="F141" s="9"/>
      <c r="G141" s="9"/>
      <c r="L141" s="66"/>
      <c r="M141" s="66"/>
      <c r="N141" s="66"/>
      <c r="O141" s="66"/>
      <c r="P141" s="66"/>
    </row>
    <row r="142" spans="1:17" ht="15" outlineLevel="1">
      <c r="B142" s="106"/>
      <c r="C142" s="11"/>
      <c r="D142" s="9"/>
      <c r="E142" s="9"/>
      <c r="F142" s="9"/>
      <c r="G142" s="9"/>
      <c r="L142" s="66"/>
      <c r="M142" s="66"/>
      <c r="N142" s="66"/>
      <c r="O142" s="66"/>
      <c r="P142" s="66"/>
    </row>
    <row r="143" spans="1:17" ht="16.5" outlineLevel="1">
      <c r="B143" s="112" t="s">
        <v>140</v>
      </c>
      <c r="C143" s="137"/>
      <c r="D143" s="138">
        <f>'DCF Inputs'!G47</f>
        <v>0.24</v>
      </c>
      <c r="E143" s="9"/>
      <c r="F143" s="9"/>
      <c r="G143" s="9"/>
      <c r="L143" s="10"/>
      <c r="M143" s="10"/>
      <c r="N143" s="10"/>
      <c r="O143" s="10"/>
      <c r="P143" s="105"/>
    </row>
    <row r="144" spans="1:17" ht="15" outlineLevel="1">
      <c r="B144" s="139" t="s">
        <v>142</v>
      </c>
      <c r="C144" s="140"/>
      <c r="D144" s="141">
        <f>IF(P161=0,0,1)</f>
        <v>0</v>
      </c>
      <c r="E144" s="9"/>
      <c r="F144" s="10"/>
      <c r="G144" s="10"/>
      <c r="L144" s="66"/>
      <c r="M144" s="66"/>
      <c r="N144" s="66"/>
      <c r="O144" s="66"/>
      <c r="P144" s="66"/>
    </row>
    <row r="145" spans="2:16" ht="15" outlineLevel="1">
      <c r="B145" s="106"/>
      <c r="C145" s="11"/>
      <c r="D145" s="142"/>
      <c r="E145" s="9"/>
      <c r="F145" s="9"/>
      <c r="G145" s="9"/>
      <c r="L145" s="123"/>
      <c r="M145" s="123"/>
      <c r="N145" s="123"/>
      <c r="O145" s="123"/>
      <c r="P145" s="123"/>
    </row>
    <row r="146" spans="2:16" ht="15" outlineLevel="1">
      <c r="B146" s="56" t="s">
        <v>143</v>
      </c>
      <c r="C146" s="11"/>
      <c r="D146" s="9"/>
      <c r="E146" s="9"/>
      <c r="F146" s="9"/>
      <c r="G146" s="9"/>
      <c r="L146" s="10">
        <f>L139</f>
        <v>96.179369999999835</v>
      </c>
      <c r="M146" s="10">
        <f>M139</f>
        <v>135.20691424999984</v>
      </c>
      <c r="N146" s="10">
        <f>N139</f>
        <v>178.76212133499996</v>
      </c>
      <c r="O146" s="10">
        <f>O139</f>
        <v>220.62914273769957</v>
      </c>
      <c r="P146" s="10">
        <f>P139</f>
        <v>296.28335525493344</v>
      </c>
    </row>
    <row r="147" spans="2:16" ht="15" outlineLevel="1">
      <c r="B147" s="72" t="s">
        <v>159</v>
      </c>
      <c r="C147" s="11"/>
      <c r="D147" s="9"/>
      <c r="E147" s="9"/>
      <c r="F147" s="13"/>
      <c r="G147" s="13"/>
      <c r="L147" s="143">
        <f>L112</f>
        <v>198.70939999999999</v>
      </c>
      <c r="M147" s="143">
        <f>M112</f>
        <v>209.5454</v>
      </c>
      <c r="N147" s="143">
        <f>N112</f>
        <v>220.38139999999999</v>
      </c>
      <c r="O147" s="143">
        <f>O112</f>
        <v>231.2174</v>
      </c>
      <c r="P147" s="143">
        <f>P112</f>
        <v>242.05340000000001</v>
      </c>
    </row>
    <row r="148" spans="2:16" ht="15" outlineLevel="1">
      <c r="B148" s="72" t="s">
        <v>144</v>
      </c>
      <c r="C148" s="11"/>
      <c r="D148" s="9"/>
      <c r="E148" s="9"/>
      <c r="F148" s="9"/>
      <c r="G148" s="9"/>
      <c r="L148" s="143">
        <f>L133</f>
        <v>-81.331600000000009</v>
      </c>
      <c r="M148" s="143">
        <f>M133</f>
        <v>-94.928232000000008</v>
      </c>
      <c r="N148" s="143">
        <f>N133</f>
        <v>-107.02108200000004</v>
      </c>
      <c r="O148" s="143">
        <f>O133</f>
        <v>-117.67454851320002</v>
      </c>
      <c r="P148" s="143">
        <f>P133</f>
        <v>-127.13387980608</v>
      </c>
    </row>
    <row r="149" spans="2:16" ht="15" outlineLevel="1">
      <c r="B149" s="72" t="s">
        <v>145</v>
      </c>
      <c r="C149" s="11"/>
      <c r="D149" s="9"/>
      <c r="E149" s="9"/>
      <c r="F149" s="9"/>
      <c r="G149" s="9"/>
      <c r="L149" s="447">
        <f>SUM(L146:L148)</f>
        <v>213.55716999999979</v>
      </c>
      <c r="M149" s="447">
        <f>SUM(M146:M148)</f>
        <v>249.8240822499998</v>
      </c>
      <c r="N149" s="447">
        <f>SUM(N146:N148)</f>
        <v>292.12243933499991</v>
      </c>
      <c r="O149" s="447">
        <f>SUM(O146:O148)</f>
        <v>334.17199422449954</v>
      </c>
      <c r="P149" s="447">
        <f>SUM(P146:P148)</f>
        <v>411.20287544885343</v>
      </c>
    </row>
    <row r="150" spans="2:16" ht="15" outlineLevel="1">
      <c r="B150" s="72" t="s">
        <v>162</v>
      </c>
      <c r="C150" s="11"/>
      <c r="D150" s="9"/>
      <c r="E150" s="9"/>
      <c r="F150" s="13"/>
      <c r="G150" s="13"/>
      <c r="L150" s="10"/>
      <c r="M150" s="10"/>
      <c r="N150" s="10"/>
      <c r="O150" s="10"/>
      <c r="P150" s="10"/>
    </row>
    <row r="151" spans="2:16" ht="15" outlineLevel="1">
      <c r="B151" s="106"/>
      <c r="C151" s="11"/>
      <c r="D151" s="9"/>
      <c r="E151" s="9"/>
      <c r="F151" s="9"/>
      <c r="G151" s="9"/>
      <c r="L151" s="10"/>
      <c r="M151" s="10"/>
      <c r="N151" s="10"/>
      <c r="O151" s="10"/>
      <c r="P151" s="10"/>
    </row>
    <row r="152" spans="2:16" ht="16" outlineLevel="1">
      <c r="B152" s="41" t="s">
        <v>147</v>
      </c>
      <c r="C152" s="11"/>
      <c r="D152" s="9"/>
      <c r="E152" s="9"/>
      <c r="F152" s="9"/>
      <c r="G152" s="9"/>
    </row>
    <row r="153" spans="2:16" ht="15" outlineLevel="1">
      <c r="B153" s="72" t="s">
        <v>146</v>
      </c>
      <c r="C153" s="11"/>
      <c r="D153" s="9"/>
      <c r="E153" s="9"/>
      <c r="F153" s="13"/>
      <c r="G153" s="13"/>
      <c r="L153" s="10">
        <f>L149</f>
        <v>213.55716999999979</v>
      </c>
      <c r="M153" s="10">
        <f>M149</f>
        <v>249.8240822499998</v>
      </c>
      <c r="N153" s="10">
        <f>N149</f>
        <v>292.12243933499991</v>
      </c>
      <c r="O153" s="10">
        <f>O149</f>
        <v>334.17199422449954</v>
      </c>
      <c r="P153" s="10">
        <f>P149</f>
        <v>411.20287544885343</v>
      </c>
    </row>
    <row r="154" spans="2:16" ht="15" outlineLevel="1">
      <c r="B154" s="144" t="s">
        <v>148</v>
      </c>
      <c r="C154" s="11"/>
      <c r="D154" s="9"/>
      <c r="E154" s="9"/>
      <c r="F154" s="9"/>
      <c r="G154" s="9"/>
      <c r="L154" s="90">
        <f>L160</f>
        <v>-35.020000000000003</v>
      </c>
      <c r="M154" s="90">
        <f>M160</f>
        <v>0</v>
      </c>
      <c r="N154" s="90">
        <f>N160</f>
        <v>0</v>
      </c>
      <c r="O154" s="90">
        <f>O160</f>
        <v>0</v>
      </c>
      <c r="P154" s="90">
        <f>P160</f>
        <v>0</v>
      </c>
    </row>
    <row r="155" spans="2:16" ht="15" outlineLevel="1">
      <c r="B155" s="72" t="s">
        <v>149</v>
      </c>
      <c r="C155" s="11"/>
      <c r="D155" s="9"/>
      <c r="E155" s="9"/>
      <c r="F155" s="9"/>
      <c r="G155" s="9"/>
      <c r="L155" s="10">
        <f xml:space="preserve"> MAX(SUM(L153:L154),0)</f>
        <v>178.53716999999978</v>
      </c>
      <c r="M155" s="10">
        <f xml:space="preserve"> MAX(SUM(M153:M154),0)</f>
        <v>249.8240822499998</v>
      </c>
      <c r="N155" s="10">
        <f xml:space="preserve"> MAX(SUM(N153:N154),0)</f>
        <v>292.12243933499991</v>
      </c>
      <c r="O155" s="10">
        <f xml:space="preserve"> MAX(SUM(O153:O154),0)</f>
        <v>334.17199422449954</v>
      </c>
      <c r="P155" s="10">
        <f xml:space="preserve"> MAX(SUM(P153:P154),0)</f>
        <v>411.20287544885343</v>
      </c>
    </row>
    <row r="156" spans="2:16" ht="15" outlineLevel="1">
      <c r="B156" s="106"/>
      <c r="C156" s="11"/>
      <c r="D156" s="9"/>
      <c r="E156" s="9"/>
      <c r="F156" s="9"/>
      <c r="G156" s="9"/>
      <c r="L156" s="123"/>
      <c r="M156" s="123"/>
      <c r="N156" s="123"/>
      <c r="O156" s="123"/>
      <c r="P156" s="123"/>
    </row>
    <row r="157" spans="2:16" ht="15" outlineLevel="1">
      <c r="B157" s="56" t="s">
        <v>150</v>
      </c>
      <c r="C157" s="11"/>
      <c r="D157" s="9"/>
      <c r="E157" s="9"/>
      <c r="F157" s="9"/>
      <c r="G157" s="9"/>
      <c r="L157" s="123"/>
      <c r="M157" s="123"/>
      <c r="N157" s="123"/>
      <c r="O157" s="123"/>
      <c r="P157" s="123"/>
    </row>
    <row r="158" spans="2:16" ht="15" outlineLevel="1">
      <c r="B158" s="72" t="s">
        <v>134</v>
      </c>
      <c r="C158" s="11"/>
      <c r="D158" s="9"/>
      <c r="E158" s="9"/>
      <c r="F158" s="9"/>
      <c r="G158" s="9"/>
      <c r="L158" s="10">
        <f>K161</f>
        <v>35.020000000000003</v>
      </c>
      <c r="M158" s="10">
        <f t="shared" ref="M158:P158" si="74">L161</f>
        <v>0</v>
      </c>
      <c r="N158" s="10">
        <f t="shared" si="74"/>
        <v>0</v>
      </c>
      <c r="O158" s="10">
        <f t="shared" si="74"/>
        <v>0</v>
      </c>
      <c r="P158" s="10">
        <f t="shared" si="74"/>
        <v>0</v>
      </c>
    </row>
    <row r="159" spans="2:16" ht="15" outlineLevel="1">
      <c r="B159" s="72" t="s">
        <v>151</v>
      </c>
      <c r="C159" s="11"/>
      <c r="D159" s="9"/>
      <c r="E159" s="9"/>
      <c r="F159" s="9"/>
      <c r="G159" s="9"/>
      <c r="L159" s="10">
        <f>-MIN(L146,0)</f>
        <v>0</v>
      </c>
      <c r="M159" s="10">
        <f>-MIN(M146,0)</f>
        <v>0</v>
      </c>
      <c r="N159" s="10">
        <f>-MIN(N146,0)</f>
        <v>0</v>
      </c>
      <c r="O159" s="10">
        <f>-MIN(O146,0)</f>
        <v>0</v>
      </c>
      <c r="P159" s="10">
        <f>-MIN(P146,0)</f>
        <v>0</v>
      </c>
    </row>
    <row r="160" spans="2:16" ht="15" outlineLevel="1">
      <c r="B160" s="72" t="s">
        <v>152</v>
      </c>
      <c r="C160" s="11"/>
      <c r="D160" s="9"/>
      <c r="E160" s="9"/>
      <c r="F160" s="9"/>
      <c r="G160" s="9"/>
      <c r="L160" s="90">
        <f>-MIN(L158,L153)*L140</f>
        <v>-35.020000000000003</v>
      </c>
      <c r="M160" s="90">
        <f>-MIN(M158,M153)*M140</f>
        <v>0</v>
      </c>
      <c r="N160" s="90">
        <f>-MIN(N158,N153)*N140</f>
        <v>0</v>
      </c>
      <c r="O160" s="90">
        <f>-MIN(O158,O153)*O140</f>
        <v>0</v>
      </c>
      <c r="P160" s="90">
        <f>-MIN(P158,P153)*P140</f>
        <v>0</v>
      </c>
    </row>
    <row r="161" spans="2:17" ht="15" outlineLevel="1">
      <c r="B161" s="72" t="s">
        <v>136</v>
      </c>
      <c r="C161" s="11"/>
      <c r="D161" s="9"/>
      <c r="E161" s="9"/>
      <c r="F161" s="9"/>
      <c r="G161" s="9"/>
      <c r="K161" s="447">
        <f>'DCF Inputs'!M44</f>
        <v>35.020000000000003</v>
      </c>
      <c r="L161" s="10">
        <f>SUM(L158:L160)</f>
        <v>0</v>
      </c>
      <c r="M161" s="10">
        <f>SUM(M158:M160)</f>
        <v>0</v>
      </c>
      <c r="N161" s="10">
        <f>SUM(N158:N160)</f>
        <v>0</v>
      </c>
      <c r="O161" s="10">
        <f>SUM(O158:O160)</f>
        <v>0</v>
      </c>
      <c r="P161" s="10">
        <f>SUM(P158:P160)</f>
        <v>0</v>
      </c>
    </row>
    <row r="162" spans="2:17" ht="15" outlineLevel="1">
      <c r="B162" s="106"/>
      <c r="C162" s="11"/>
      <c r="D162" s="9"/>
      <c r="E162" s="9"/>
      <c r="F162" s="9"/>
      <c r="G162" s="9"/>
      <c r="L162" s="123"/>
      <c r="M162" s="123"/>
      <c r="N162" s="123"/>
      <c r="O162" s="123"/>
      <c r="P162" s="123"/>
    </row>
    <row r="163" spans="2:17" ht="15" outlineLevel="1">
      <c r="B163" s="494"/>
      <c r="C163" s="495"/>
      <c r="D163" s="496"/>
      <c r="E163" s="496"/>
      <c r="F163" s="496"/>
      <c r="G163" s="496"/>
      <c r="H163" s="497"/>
      <c r="I163" s="497"/>
      <c r="J163" s="497"/>
      <c r="K163" s="497"/>
      <c r="L163" s="498"/>
      <c r="M163" s="498"/>
      <c r="N163" s="498"/>
      <c r="O163" s="498"/>
      <c r="P163" s="498"/>
    </row>
    <row r="164" spans="2:17" ht="15" outlineLevel="1">
      <c r="B164" s="56" t="s">
        <v>153</v>
      </c>
      <c r="C164" s="11"/>
      <c r="D164" s="9"/>
      <c r="E164" s="9"/>
      <c r="F164" s="9"/>
      <c r="G164" s="9"/>
      <c r="L164" s="123"/>
      <c r="M164" s="123"/>
      <c r="N164" s="123"/>
      <c r="O164" s="123"/>
      <c r="P164" s="123"/>
    </row>
    <row r="165" spans="2:17" ht="15" outlineLevel="1">
      <c r="B165" s="72" t="s">
        <v>154</v>
      </c>
      <c r="C165" s="11"/>
      <c r="D165" s="9"/>
      <c r="E165" s="9"/>
      <c r="F165" s="13"/>
      <c r="G165" s="13"/>
      <c r="L165" s="10">
        <f>L155*$D$143</f>
        <v>42.848920799999945</v>
      </c>
      <c r="M165" s="10">
        <f>M155*$D$143</f>
        <v>59.95777973999995</v>
      </c>
      <c r="N165" s="10">
        <f>N155*$D$143</f>
        <v>70.109385440399976</v>
      </c>
      <c r="O165" s="10">
        <f>O155*$D$143</f>
        <v>80.201278613879893</v>
      </c>
      <c r="P165" s="10">
        <f>P155*$D$143</f>
        <v>98.688690107724824</v>
      </c>
    </row>
    <row r="166" spans="2:17" ht="15" outlineLevel="1">
      <c r="B166" s="72" t="s">
        <v>38</v>
      </c>
      <c r="C166" s="11"/>
      <c r="D166" s="9"/>
      <c r="E166" s="9"/>
      <c r="F166" s="9"/>
      <c r="G166" s="9"/>
      <c r="L166" s="10">
        <f>L167-L165</f>
        <v>-19.765871999999984</v>
      </c>
      <c r="M166" s="10">
        <f>M167-M165</f>
        <v>-27.508120319999989</v>
      </c>
      <c r="N166" s="10">
        <f>N167-N165</f>
        <v>-27.206476319999986</v>
      </c>
      <c r="O166" s="10">
        <f>O167-O165</f>
        <v>-27.250284356831997</v>
      </c>
      <c r="P166" s="10">
        <f>P167-P165</f>
        <v>-27.580684846540805</v>
      </c>
    </row>
    <row r="167" spans="2:17" ht="17" outlineLevel="1" thickBot="1">
      <c r="B167" s="72" t="s">
        <v>155</v>
      </c>
      <c r="C167" s="11"/>
      <c r="D167" s="15"/>
      <c r="E167" s="9"/>
      <c r="F167" s="9"/>
      <c r="G167" s="9"/>
      <c r="L167" s="16">
        <f>MAX(L146*$D$143,0)</f>
        <v>23.083048799999961</v>
      </c>
      <c r="M167" s="16">
        <f>MAX(M146*$D$143,0)</f>
        <v>32.449659419999961</v>
      </c>
      <c r="N167" s="16">
        <f>MAX(N146*$D$143,0)</f>
        <v>42.90290912039999</v>
      </c>
      <c r="O167" s="16">
        <f>MAX(O146*$D$143,0)</f>
        <v>52.950994257047896</v>
      </c>
      <c r="P167" s="16">
        <f>MAX(P146*$D$143,0)</f>
        <v>71.108005261184019</v>
      </c>
    </row>
    <row r="169" spans="2:17" ht="22">
      <c r="B169" s="231" t="s">
        <v>156</v>
      </c>
      <c r="C169" s="216"/>
      <c r="D169" s="217"/>
      <c r="E169" s="217"/>
      <c r="F169" s="218"/>
      <c r="G169" s="218"/>
      <c r="H169" s="218"/>
      <c r="I169" s="219"/>
      <c r="J169" s="220"/>
      <c r="K169" s="220"/>
      <c r="L169" s="220"/>
      <c r="M169" s="220"/>
      <c r="N169" s="215"/>
      <c r="O169" s="215"/>
      <c r="P169" s="215"/>
      <c r="Q169" s="215"/>
    </row>
    <row r="170" spans="2:17" ht="20.5" outlineLevel="1">
      <c r="B170" s="130"/>
      <c r="C170" s="11"/>
      <c r="D170" s="131"/>
      <c r="E170" s="131"/>
      <c r="F170" s="107"/>
      <c r="G170" s="107"/>
      <c r="H170" s="107"/>
      <c r="I170" s="107"/>
      <c r="J170" s="107"/>
      <c r="Q170" s="31"/>
    </row>
    <row r="171" spans="2:17" ht="15.5" outlineLevel="1" thickBot="1">
      <c r="B171" s="106" t="s">
        <v>324</v>
      </c>
      <c r="C171" s="11"/>
      <c r="D171" s="9"/>
      <c r="E171" s="9"/>
      <c r="F171" s="9"/>
      <c r="G171" s="9"/>
      <c r="L171" s="233">
        <v>2026</v>
      </c>
      <c r="M171" s="233">
        <f t="shared" ref="M171" si="75">L171+1</f>
        <v>2027</v>
      </c>
      <c r="N171" s="233">
        <f t="shared" ref="N171" si="76">M171+1</f>
        <v>2028</v>
      </c>
      <c r="O171" s="233">
        <f t="shared" ref="O171" si="77">N171+1</f>
        <v>2029</v>
      </c>
      <c r="P171" s="233">
        <f t="shared" ref="P171" si="78">O171+1</f>
        <v>2030</v>
      </c>
      <c r="Q171" s="66"/>
    </row>
    <row r="172" spans="2:17" ht="15" outlineLevel="1">
      <c r="C172" s="11"/>
      <c r="D172" s="9"/>
      <c r="E172" s="9"/>
      <c r="F172" s="9"/>
      <c r="G172" s="9"/>
      <c r="L172" s="30"/>
      <c r="M172" s="30"/>
      <c r="N172" s="30"/>
      <c r="O172" s="30"/>
      <c r="P172" s="30"/>
      <c r="Q172" s="66"/>
    </row>
    <row r="173" spans="2:17" ht="15" outlineLevel="1">
      <c r="B173" s="108" t="s">
        <v>160</v>
      </c>
      <c r="C173" s="11"/>
      <c r="D173" s="9"/>
      <c r="E173" s="9"/>
      <c r="F173" s="9"/>
      <c r="G173" s="9"/>
      <c r="L173" s="109">
        <f>L30</f>
        <v>296.17936999999984</v>
      </c>
      <c r="M173" s="110">
        <f>M30</f>
        <v>335.20691424999984</v>
      </c>
      <c r="N173" s="110">
        <f>N30</f>
        <v>378.76212133499996</v>
      </c>
      <c r="O173" s="110">
        <f>O30</f>
        <v>420.62914273769957</v>
      </c>
      <c r="P173" s="111">
        <f>P30</f>
        <v>496.28335525493344</v>
      </c>
    </row>
    <row r="174" spans="2:17" ht="15" outlineLevel="1">
      <c r="B174" s="108" t="s">
        <v>141</v>
      </c>
      <c r="C174" s="11"/>
      <c r="D174" s="9"/>
      <c r="E174" s="9"/>
      <c r="F174" s="13"/>
      <c r="G174" s="13"/>
      <c r="L174" s="134">
        <f>IF(L182&gt;0,1,0)</f>
        <v>1</v>
      </c>
      <c r="M174" s="135">
        <f>IF(M182&gt;0,1,0)</f>
        <v>1</v>
      </c>
      <c r="N174" s="135">
        <f>IF(N182&gt;0,1,0)</f>
        <v>1</v>
      </c>
      <c r="O174" s="135">
        <f>IF(O182&gt;0,1,0)</f>
        <v>1</v>
      </c>
      <c r="P174" s="136">
        <f>IF(P182&gt;0,1,0)</f>
        <v>1</v>
      </c>
    </row>
    <row r="175" spans="2:17" ht="15" outlineLevel="1">
      <c r="B175" s="106"/>
      <c r="C175" s="11"/>
      <c r="D175" s="9"/>
      <c r="E175" s="9"/>
      <c r="F175" s="9"/>
      <c r="G175" s="9"/>
      <c r="L175" s="66"/>
      <c r="M175" s="66"/>
      <c r="N175" s="66"/>
      <c r="O175" s="66"/>
      <c r="P175" s="66"/>
    </row>
    <row r="176" spans="2:17" ht="16.5" outlineLevel="1">
      <c r="B176" s="112" t="s">
        <v>140</v>
      </c>
      <c r="C176" s="137"/>
      <c r="D176" s="138">
        <f>D143</f>
        <v>0.24</v>
      </c>
      <c r="E176" s="9"/>
      <c r="F176" s="9"/>
      <c r="G176" s="9"/>
      <c r="L176" s="10"/>
      <c r="M176" s="10"/>
      <c r="N176" s="10"/>
      <c r="O176" s="10"/>
      <c r="P176" s="105"/>
    </row>
    <row r="177" spans="2:16" ht="15" outlineLevel="1">
      <c r="B177" s="139" t="s">
        <v>142</v>
      </c>
      <c r="C177" s="140"/>
      <c r="D177" s="141">
        <f>IF(P194=0,0,1)</f>
        <v>0</v>
      </c>
      <c r="E177" s="9"/>
      <c r="F177" s="10"/>
      <c r="G177" s="10"/>
      <c r="L177" s="66"/>
      <c r="M177" s="66"/>
      <c r="N177" s="66"/>
      <c r="O177" s="66"/>
      <c r="P177" s="66"/>
    </row>
    <row r="178" spans="2:16" ht="15" outlineLevel="1">
      <c r="B178" s="106"/>
      <c r="C178" s="11"/>
      <c r="D178" s="142"/>
      <c r="E178" s="9"/>
      <c r="F178" s="9"/>
      <c r="G178" s="9"/>
      <c r="L178" s="66"/>
      <c r="M178" s="66"/>
      <c r="N178" s="66"/>
      <c r="O178" s="66"/>
      <c r="P178" s="66"/>
    </row>
    <row r="179" spans="2:16" ht="15" outlineLevel="1">
      <c r="B179" s="56" t="s">
        <v>143</v>
      </c>
      <c r="C179" s="11"/>
      <c r="D179" s="9"/>
      <c r="E179" s="9"/>
      <c r="F179" s="9"/>
      <c r="G179" s="9"/>
      <c r="L179" s="10">
        <f>L173</f>
        <v>296.17936999999984</v>
      </c>
      <c r="M179" s="10">
        <f>M173</f>
        <v>335.20691424999984</v>
      </c>
      <c r="N179" s="10">
        <f>N173</f>
        <v>378.76212133499996</v>
      </c>
      <c r="O179" s="10">
        <f>O173</f>
        <v>420.62914273769957</v>
      </c>
      <c r="P179" s="10">
        <f>P173</f>
        <v>496.28335525493344</v>
      </c>
    </row>
    <row r="180" spans="2:16" ht="15" outlineLevel="1">
      <c r="B180" s="72" t="s">
        <v>161</v>
      </c>
      <c r="C180" s="11"/>
      <c r="D180" s="9"/>
      <c r="E180" s="9"/>
      <c r="F180" s="13"/>
      <c r="G180" s="13"/>
      <c r="L180" s="143">
        <f>L112</f>
        <v>198.70939999999999</v>
      </c>
      <c r="M180" s="143">
        <f>M112</f>
        <v>209.5454</v>
      </c>
      <c r="N180" s="143">
        <f>N112</f>
        <v>220.38139999999999</v>
      </c>
      <c r="O180" s="143">
        <f>O112</f>
        <v>231.2174</v>
      </c>
      <c r="P180" s="143">
        <f>P112</f>
        <v>242.05340000000001</v>
      </c>
    </row>
    <row r="181" spans="2:16" ht="15" outlineLevel="1">
      <c r="B181" s="72" t="s">
        <v>144</v>
      </c>
      <c r="C181" s="11"/>
      <c r="D181" s="9"/>
      <c r="E181" s="9"/>
      <c r="F181" s="9"/>
      <c r="G181" s="9"/>
      <c r="L181" s="143">
        <f>-L133</f>
        <v>81.331600000000009</v>
      </c>
      <c r="M181" s="143">
        <f>-M133</f>
        <v>94.928232000000008</v>
      </c>
      <c r="N181" s="143">
        <f>-N133</f>
        <v>107.02108200000004</v>
      </c>
      <c r="O181" s="143">
        <f>-O133</f>
        <v>117.67454851320002</v>
      </c>
      <c r="P181" s="143">
        <f>-P133</f>
        <v>127.13387980608</v>
      </c>
    </row>
    <row r="182" spans="2:16" ht="15" outlineLevel="1">
      <c r="B182" s="72" t="s">
        <v>145</v>
      </c>
      <c r="C182" s="11"/>
      <c r="D182" s="9"/>
      <c r="E182" s="9"/>
      <c r="F182" s="9"/>
      <c r="G182" s="9"/>
      <c r="L182" s="10">
        <f>SUM(L179:L181)</f>
        <v>576.22036999999978</v>
      </c>
      <c r="M182" s="10">
        <f>SUM(M179:M181)</f>
        <v>639.68054624999979</v>
      </c>
      <c r="N182" s="10">
        <f>SUM(N179:N181)</f>
        <v>706.16460333500004</v>
      </c>
      <c r="O182" s="10">
        <f>SUM(O179:O181)</f>
        <v>769.52109125089964</v>
      </c>
      <c r="P182" s="10">
        <f>SUM(P179:P181)</f>
        <v>865.47063506101347</v>
      </c>
    </row>
    <row r="183" spans="2:16" ht="15" outlineLevel="1">
      <c r="B183" s="72" t="s">
        <v>146</v>
      </c>
      <c r="C183" s="11"/>
      <c r="D183" s="9"/>
      <c r="E183" s="9"/>
      <c r="F183" s="13"/>
      <c r="G183" s="13"/>
      <c r="L183" s="10"/>
      <c r="M183" s="10"/>
      <c r="N183" s="10"/>
      <c r="O183" s="10"/>
      <c r="P183" s="10"/>
    </row>
    <row r="184" spans="2:16" ht="15" outlineLevel="1">
      <c r="B184" s="106"/>
      <c r="C184" s="11"/>
      <c r="D184" s="9"/>
      <c r="E184" s="9"/>
      <c r="F184" s="9"/>
      <c r="G184" s="9"/>
      <c r="L184" s="10"/>
      <c r="M184" s="10"/>
      <c r="N184" s="10"/>
      <c r="O184" s="10"/>
      <c r="P184" s="10"/>
    </row>
    <row r="185" spans="2:16" ht="16" outlineLevel="1">
      <c r="B185" s="41" t="s">
        <v>147</v>
      </c>
      <c r="C185" s="11"/>
      <c r="D185" s="9"/>
      <c r="E185" s="9"/>
      <c r="F185" s="9"/>
      <c r="G185" s="9"/>
    </row>
    <row r="186" spans="2:16" ht="15" outlineLevel="1">
      <c r="B186" s="72" t="s">
        <v>146</v>
      </c>
      <c r="C186" s="11"/>
      <c r="D186" s="9"/>
      <c r="E186" s="9"/>
      <c r="F186" s="13"/>
      <c r="G186" s="13"/>
      <c r="L186" s="10">
        <f>L182</f>
        <v>576.22036999999978</v>
      </c>
      <c r="M186" s="10">
        <f>M182</f>
        <v>639.68054624999979</v>
      </c>
      <c r="N186" s="10">
        <f>N182</f>
        <v>706.16460333500004</v>
      </c>
      <c r="O186" s="10">
        <f>O182</f>
        <v>769.52109125089964</v>
      </c>
      <c r="P186" s="10">
        <f>P182</f>
        <v>865.47063506101347</v>
      </c>
    </row>
    <row r="187" spans="2:16" ht="15" outlineLevel="1">
      <c r="B187" s="144" t="s">
        <v>148</v>
      </c>
      <c r="C187" s="11"/>
      <c r="D187" s="9"/>
      <c r="E187" s="9"/>
      <c r="F187" s="9"/>
      <c r="G187" s="9"/>
      <c r="L187" s="90">
        <f>L193</f>
        <v>-35.020000000000003</v>
      </c>
      <c r="M187" s="90">
        <f>M193</f>
        <v>0</v>
      </c>
      <c r="N187" s="90">
        <f>N193</f>
        <v>0</v>
      </c>
      <c r="O187" s="90">
        <f>O193</f>
        <v>0</v>
      </c>
      <c r="P187" s="90">
        <f>P193</f>
        <v>0</v>
      </c>
    </row>
    <row r="188" spans="2:16" ht="15" outlineLevel="1">
      <c r="B188" s="72" t="s">
        <v>149</v>
      </c>
      <c r="C188" s="11"/>
      <c r="D188" s="9"/>
      <c r="E188" s="9"/>
      <c r="F188" s="9"/>
      <c r="G188" s="9"/>
      <c r="L188" s="10">
        <f xml:space="preserve"> MAX(SUM(L186:L187),0)</f>
        <v>541.20036999999979</v>
      </c>
      <c r="M188" s="10">
        <f xml:space="preserve"> MAX(SUM(M186:M187),0)</f>
        <v>639.68054624999979</v>
      </c>
      <c r="N188" s="10">
        <f xml:space="preserve"> MAX(SUM(N186:N187),0)</f>
        <v>706.16460333500004</v>
      </c>
      <c r="O188" s="10">
        <f xml:space="preserve"> MAX(SUM(O186:O187),0)</f>
        <v>769.52109125089964</v>
      </c>
      <c r="P188" s="10">
        <f xml:space="preserve"> MAX(SUM(P186:P187),0)</f>
        <v>865.47063506101347</v>
      </c>
    </row>
    <row r="189" spans="2:16" ht="15" outlineLevel="1">
      <c r="B189" s="106"/>
      <c r="C189" s="11"/>
      <c r="D189" s="9"/>
      <c r="E189" s="9"/>
      <c r="F189" s="9"/>
      <c r="G189" s="9"/>
      <c r="L189" s="123"/>
      <c r="M189" s="123"/>
      <c r="N189" s="123"/>
      <c r="O189" s="123"/>
      <c r="P189" s="123"/>
    </row>
    <row r="190" spans="2:16" ht="15" outlineLevel="1">
      <c r="B190" s="56" t="s">
        <v>150</v>
      </c>
      <c r="C190" s="11"/>
      <c r="D190" s="9"/>
      <c r="E190" s="9"/>
      <c r="F190" s="9"/>
      <c r="G190" s="9"/>
      <c r="L190" s="123"/>
      <c r="M190" s="123"/>
      <c r="N190" s="123"/>
      <c r="O190" s="123"/>
      <c r="P190" s="123"/>
    </row>
    <row r="191" spans="2:16" ht="15" outlineLevel="1">
      <c r="B191" s="72" t="s">
        <v>134</v>
      </c>
      <c r="C191" s="11"/>
      <c r="D191" s="9"/>
      <c r="E191" s="9"/>
      <c r="F191" s="9"/>
      <c r="G191" s="9"/>
      <c r="L191" s="10">
        <f>K194</f>
        <v>35.020000000000003</v>
      </c>
      <c r="M191" s="10">
        <f t="shared" ref="M191:P191" si="79">L194</f>
        <v>0</v>
      </c>
      <c r="N191" s="10">
        <f t="shared" si="79"/>
        <v>0</v>
      </c>
      <c r="O191" s="10">
        <f t="shared" si="79"/>
        <v>0</v>
      </c>
      <c r="P191" s="10">
        <f t="shared" si="79"/>
        <v>0</v>
      </c>
    </row>
    <row r="192" spans="2:16" ht="15" outlineLevel="1">
      <c r="B192" s="72" t="s">
        <v>151</v>
      </c>
      <c r="C192" s="11"/>
      <c r="D192" s="9"/>
      <c r="E192" s="9"/>
      <c r="F192" s="9"/>
      <c r="G192" s="9"/>
      <c r="L192" s="10">
        <f>-MIN(L179,0)</f>
        <v>0</v>
      </c>
      <c r="M192" s="10">
        <f>-MIN(M179,0)</f>
        <v>0</v>
      </c>
      <c r="N192" s="10">
        <f>-MIN(N179,0)</f>
        <v>0</v>
      </c>
      <c r="O192" s="10">
        <f>-MIN(O179,0)</f>
        <v>0</v>
      </c>
      <c r="P192" s="10">
        <f>-MIN(P179,0)</f>
        <v>0</v>
      </c>
    </row>
    <row r="193" spans="2:21" ht="15" outlineLevel="1">
      <c r="B193" s="72" t="s">
        <v>152</v>
      </c>
      <c r="C193" s="11"/>
      <c r="D193" s="9"/>
      <c r="E193" s="9"/>
      <c r="F193" s="9"/>
      <c r="G193" s="9"/>
      <c r="L193" s="90">
        <f>-MIN(L191,L186)*L174</f>
        <v>-35.020000000000003</v>
      </c>
      <c r="M193" s="90">
        <f>-MIN(M191,M186)*M174</f>
        <v>0</v>
      </c>
      <c r="N193" s="90">
        <f>-MIN(N191,N186)*N174</f>
        <v>0</v>
      </c>
      <c r="O193" s="90">
        <f>-MIN(O191,O186)*O174</f>
        <v>0</v>
      </c>
      <c r="P193" s="90">
        <f>-MIN(P191,P186)*P174</f>
        <v>0</v>
      </c>
    </row>
    <row r="194" spans="2:21" ht="15" outlineLevel="1">
      <c r="B194" s="72" t="s">
        <v>136</v>
      </c>
      <c r="C194" s="11"/>
      <c r="D194" s="9"/>
      <c r="E194" s="9"/>
      <c r="F194" s="9"/>
      <c r="G194" s="9"/>
      <c r="K194" s="447">
        <f>'DCF Inputs'!M44</f>
        <v>35.020000000000003</v>
      </c>
      <c r="L194" s="10">
        <f>SUM(L191:L193)</f>
        <v>0</v>
      </c>
      <c r="M194" s="10">
        <f>SUM(M191:M193)</f>
        <v>0</v>
      </c>
      <c r="N194" s="10">
        <f>SUM(N191:N193)</f>
        <v>0</v>
      </c>
      <c r="O194" s="10">
        <f>SUM(O191:O193)</f>
        <v>0</v>
      </c>
      <c r="P194" s="10">
        <f>SUM(P191:P193)</f>
        <v>0</v>
      </c>
    </row>
    <row r="195" spans="2:21" outlineLevel="1"/>
    <row r="196" spans="2:21" ht="15" outlineLevel="1">
      <c r="B196" s="56" t="s">
        <v>153</v>
      </c>
      <c r="C196" s="11"/>
      <c r="D196" s="9"/>
      <c r="E196" s="9"/>
      <c r="F196" s="9"/>
      <c r="G196" s="9"/>
      <c r="L196" s="123"/>
      <c r="M196" s="123"/>
      <c r="N196" s="123"/>
      <c r="O196" s="123"/>
      <c r="P196" s="123"/>
    </row>
    <row r="197" spans="2:21" ht="15" outlineLevel="1">
      <c r="B197" s="72" t="s">
        <v>154</v>
      </c>
      <c r="C197" s="11"/>
      <c r="D197" s="9"/>
      <c r="E197" s="9"/>
      <c r="F197" s="13"/>
      <c r="G197" s="13"/>
      <c r="L197" s="10">
        <f>L186*$D$143</f>
        <v>138.29288879999993</v>
      </c>
      <c r="M197" s="10">
        <f t="shared" ref="M197:P197" si="80">M186*$D$143</f>
        <v>153.52333109999995</v>
      </c>
      <c r="N197" s="10">
        <f t="shared" si="80"/>
        <v>169.47950480040001</v>
      </c>
      <c r="O197" s="10">
        <f t="shared" si="80"/>
        <v>184.68506190021591</v>
      </c>
      <c r="P197" s="10">
        <f t="shared" si="80"/>
        <v>207.71295241464321</v>
      </c>
    </row>
    <row r="198" spans="2:21" ht="15" outlineLevel="1">
      <c r="B198" s="72" t="s">
        <v>38</v>
      </c>
      <c r="C198" s="11"/>
      <c r="D198" s="9"/>
      <c r="E198" s="9"/>
      <c r="F198" s="9"/>
      <c r="G198" s="9"/>
      <c r="L198" s="10">
        <f>L199-L197</f>
        <v>-67.209839999999971</v>
      </c>
      <c r="M198" s="10">
        <f>M199-M197</f>
        <v>-73.07367167999999</v>
      </c>
      <c r="N198" s="10">
        <f>N199-N197</f>
        <v>-78.576595680000025</v>
      </c>
      <c r="O198" s="10">
        <f>O199-O197</f>
        <v>-83.734067643168018</v>
      </c>
      <c r="P198" s="10">
        <f>P199-P197</f>
        <v>-88.604947153459193</v>
      </c>
    </row>
    <row r="199" spans="2:21" ht="17" outlineLevel="1" thickBot="1">
      <c r="B199" s="72" t="s">
        <v>155</v>
      </c>
      <c r="C199" s="11"/>
      <c r="D199" s="15"/>
      <c r="E199" s="9"/>
      <c r="F199" s="9"/>
      <c r="G199" s="9"/>
      <c r="L199" s="16">
        <f>MAX(L179*$D$143,0)</f>
        <v>71.083048799999958</v>
      </c>
      <c r="M199" s="16">
        <f t="shared" ref="M199:P199" si="81">MAX(M179*$D$143,0)</f>
        <v>80.449659419999961</v>
      </c>
      <c r="N199" s="16">
        <f t="shared" si="81"/>
        <v>90.902909120399983</v>
      </c>
      <c r="O199" s="16">
        <f t="shared" si="81"/>
        <v>100.9509942570479</v>
      </c>
      <c r="P199" s="16">
        <f t="shared" si="81"/>
        <v>119.10800526118402</v>
      </c>
    </row>
    <row r="201" spans="2:21" ht="22">
      <c r="B201" s="231" t="s">
        <v>173</v>
      </c>
      <c r="C201" s="215"/>
      <c r="D201" s="215"/>
      <c r="E201" s="215"/>
      <c r="F201" s="215"/>
      <c r="G201" s="215"/>
      <c r="H201" s="215"/>
      <c r="I201" s="215"/>
      <c r="J201" s="215"/>
      <c r="K201" s="215"/>
      <c r="L201" s="215"/>
      <c r="M201" s="215"/>
      <c r="N201" s="215"/>
      <c r="O201" s="215"/>
      <c r="P201" s="215"/>
      <c r="Q201" s="215"/>
    </row>
    <row r="202" spans="2:21" ht="15">
      <c r="B202" s="107"/>
      <c r="C202" s="107"/>
      <c r="D202" s="107"/>
      <c r="E202" s="107"/>
      <c r="F202" s="107"/>
      <c r="G202" s="107"/>
      <c r="H202" s="107"/>
      <c r="I202" s="107"/>
      <c r="J202" s="107"/>
      <c r="K202" s="107"/>
      <c r="L202" s="107"/>
      <c r="M202" s="107"/>
      <c r="N202" s="107"/>
      <c r="O202" s="107"/>
      <c r="P202" s="107"/>
      <c r="Q202" s="107"/>
      <c r="R202" s="107"/>
      <c r="S202" s="107"/>
      <c r="T202" s="107"/>
      <c r="U202" s="107"/>
    </row>
    <row r="203" spans="2:21" ht="15.5" outlineLevel="1" thickBot="1">
      <c r="B203" s="106" t="s">
        <v>324</v>
      </c>
      <c r="C203" s="11"/>
      <c r="D203" s="9"/>
      <c r="E203" s="9"/>
      <c r="F203" s="107"/>
      <c r="G203" s="107"/>
      <c r="H203" s="107"/>
      <c r="L203" s="233">
        <v>2026</v>
      </c>
      <c r="M203" s="235">
        <f>L203+1</f>
        <v>2027</v>
      </c>
      <c r="N203" s="235">
        <f t="shared" ref="N203:P203" si="82">M203+1</f>
        <v>2028</v>
      </c>
      <c r="O203" s="235">
        <f t="shared" si="82"/>
        <v>2029</v>
      </c>
      <c r="P203" s="235">
        <f t="shared" si="82"/>
        <v>2030</v>
      </c>
      <c r="Q203" s="235" t="s">
        <v>69</v>
      </c>
    </row>
    <row r="204" spans="2:21" ht="15" outlineLevel="1">
      <c r="B204" s="106"/>
      <c r="C204" s="11"/>
      <c r="D204" s="9"/>
      <c r="E204" s="9"/>
      <c r="F204" s="9"/>
      <c r="G204" s="9"/>
      <c r="H204" s="9"/>
      <c r="L204" s="66"/>
      <c r="M204" s="66"/>
      <c r="N204" s="66"/>
      <c r="O204" s="66"/>
      <c r="P204" s="66"/>
      <c r="Q204" s="66"/>
    </row>
    <row r="205" spans="2:21" ht="15" outlineLevel="1">
      <c r="B205" s="56" t="s">
        <v>163</v>
      </c>
      <c r="C205" s="11"/>
      <c r="D205" s="9"/>
      <c r="E205" s="56"/>
      <c r="F205" s="56" t="s">
        <v>164</v>
      </c>
      <c r="G205" s="123" t="s">
        <v>165</v>
      </c>
      <c r="H205" s="9"/>
      <c r="L205" s="66"/>
      <c r="M205" s="66"/>
      <c r="N205" s="66"/>
      <c r="O205" s="66"/>
      <c r="P205" s="66"/>
      <c r="Q205" s="66"/>
    </row>
    <row r="206" spans="2:21" ht="15" outlineLevel="1">
      <c r="B206" s="72" t="s">
        <v>166</v>
      </c>
      <c r="C206" s="11"/>
      <c r="D206" s="9"/>
      <c r="E206" s="9"/>
      <c r="F206" s="112" t="s">
        <v>75</v>
      </c>
      <c r="G206" s="88">
        <f>Q30</f>
        <v>670.83573100617832</v>
      </c>
      <c r="H206" s="13"/>
      <c r="L206" s="143">
        <f>L197</f>
        <v>138.29288879999993</v>
      </c>
      <c r="M206" s="143">
        <f>M197</f>
        <v>153.52333109999995</v>
      </c>
      <c r="N206" s="143">
        <f>N197</f>
        <v>169.47950480040001</v>
      </c>
      <c r="O206" s="143">
        <f>O197</f>
        <v>184.68506190021591</v>
      </c>
      <c r="P206" s="143">
        <f>P197</f>
        <v>207.71295241464321</v>
      </c>
      <c r="Q206" s="143">
        <f>G206*$G$208</f>
        <v>161.00057544148279</v>
      </c>
    </row>
    <row r="207" spans="2:21" ht="15" outlineLevel="1">
      <c r="B207" s="72" t="s">
        <v>167</v>
      </c>
      <c r="C207" s="11"/>
      <c r="D207" s="9"/>
      <c r="E207" s="9"/>
      <c r="F207" s="146" t="s">
        <v>77</v>
      </c>
      <c r="G207" s="89">
        <f>Q33</f>
        <v>470.83573100617832</v>
      </c>
      <c r="H207" s="13"/>
      <c r="L207" s="143">
        <f>L165</f>
        <v>42.848920799999945</v>
      </c>
      <c r="M207" s="143">
        <f>M165</f>
        <v>59.95777973999995</v>
      </c>
      <c r="N207" s="143">
        <f>N165</f>
        <v>70.109385440399976</v>
      </c>
      <c r="O207" s="143">
        <f>O165</f>
        <v>80.201278613879893</v>
      </c>
      <c r="P207" s="143">
        <f>P165</f>
        <v>98.688690107724824</v>
      </c>
      <c r="Q207" s="143">
        <f>G207*$G$208</f>
        <v>113.00057544148279</v>
      </c>
    </row>
    <row r="208" spans="2:21" ht="15" outlineLevel="1">
      <c r="B208" s="72" t="s">
        <v>168</v>
      </c>
      <c r="C208" s="131"/>
      <c r="D208" s="147"/>
      <c r="E208" s="147"/>
      <c r="F208" s="8" t="s">
        <v>140</v>
      </c>
      <c r="G208" s="148">
        <f>'DCF Inputs'!G47</f>
        <v>0.24</v>
      </c>
      <c r="H208" s="13"/>
      <c r="L208" s="132">
        <f>L206-L207</f>
        <v>95.443967999999984</v>
      </c>
      <c r="M208" s="132">
        <f t="shared" ref="M208:Q208" si="83">M206-M207</f>
        <v>93.565551360000001</v>
      </c>
      <c r="N208" s="132">
        <f t="shared" si="83"/>
        <v>99.370119360000032</v>
      </c>
      <c r="O208" s="132">
        <f t="shared" si="83"/>
        <v>104.48378328633602</v>
      </c>
      <c r="P208" s="132">
        <f t="shared" si="83"/>
        <v>109.02426230691839</v>
      </c>
      <c r="Q208" s="132">
        <f t="shared" si="83"/>
        <v>48</v>
      </c>
    </row>
    <row r="209" spans="2:17" ht="15" outlineLevel="1">
      <c r="B209" s="106"/>
      <c r="C209" s="11"/>
      <c r="D209" s="9"/>
      <c r="E209" s="9"/>
      <c r="F209" s="149"/>
      <c r="G209" s="149"/>
      <c r="H209" s="149"/>
      <c r="L209" s="150"/>
      <c r="M209" s="150"/>
      <c r="N209" s="150"/>
      <c r="O209" s="150"/>
      <c r="P209" s="150"/>
      <c r="Q209" s="150"/>
    </row>
    <row r="210" spans="2:17" ht="20.5" outlineLevel="1">
      <c r="B210" s="56" t="s">
        <v>169</v>
      </c>
      <c r="C210" s="12"/>
      <c r="D210" s="151"/>
      <c r="E210" s="9"/>
      <c r="F210" s="9"/>
      <c r="G210" s="9"/>
      <c r="H210" s="9"/>
      <c r="L210" s="12"/>
      <c r="M210" s="12"/>
      <c r="N210" s="12"/>
      <c r="O210" s="12"/>
      <c r="P210" s="12"/>
      <c r="Q210" s="12"/>
    </row>
    <row r="211" spans="2:17" ht="16.5" outlineLevel="1">
      <c r="B211" s="72" t="s">
        <v>4</v>
      </c>
      <c r="C211" s="11"/>
      <c r="D211" s="9"/>
      <c r="E211" s="9"/>
      <c r="F211" s="105"/>
      <c r="G211" s="13"/>
      <c r="H211" s="13"/>
      <c r="L211" s="143">
        <f t="shared" ref="L211:Q211" si="84">L27</f>
        <v>494.88876999999985</v>
      </c>
      <c r="M211" s="143">
        <f t="shared" si="84"/>
        <v>544.75231424999981</v>
      </c>
      <c r="N211" s="143">
        <f t="shared" si="84"/>
        <v>599.14352133499995</v>
      </c>
      <c r="O211" s="143">
        <f t="shared" si="84"/>
        <v>651.84654273769956</v>
      </c>
      <c r="P211" s="143">
        <f t="shared" si="84"/>
        <v>738.33675525493345</v>
      </c>
      <c r="Q211" s="143">
        <f t="shared" si="84"/>
        <v>879.3511795421183</v>
      </c>
    </row>
    <row r="212" spans="2:17" ht="16.5" outlineLevel="1">
      <c r="B212" s="72" t="s">
        <v>154</v>
      </c>
      <c r="C212" s="11"/>
      <c r="D212" s="9"/>
      <c r="E212" s="9"/>
      <c r="F212" s="105"/>
      <c r="G212" s="13"/>
      <c r="H212" s="13"/>
      <c r="L212" s="143">
        <f t="shared" ref="L212:Q212" si="85">-L206</f>
        <v>-138.29288879999993</v>
      </c>
      <c r="M212" s="143">
        <f t="shared" si="85"/>
        <v>-153.52333109999995</v>
      </c>
      <c r="N212" s="143">
        <f t="shared" si="85"/>
        <v>-169.47950480040001</v>
      </c>
      <c r="O212" s="143">
        <f t="shared" si="85"/>
        <v>-184.68506190021591</v>
      </c>
      <c r="P212" s="143">
        <f t="shared" si="85"/>
        <v>-207.71295241464321</v>
      </c>
      <c r="Q212" s="143">
        <f t="shared" si="85"/>
        <v>-161.00057544148279</v>
      </c>
    </row>
    <row r="213" spans="2:17" ht="15" outlineLevel="1">
      <c r="B213" s="72" t="s">
        <v>132</v>
      </c>
      <c r="C213" s="11"/>
      <c r="D213" s="9"/>
      <c r="E213" s="9"/>
      <c r="F213" s="13"/>
      <c r="G213" s="13"/>
      <c r="H213" s="13"/>
      <c r="L213" s="143">
        <f t="shared" ref="L213:Q213" si="86">L83*-1</f>
        <v>-216.72</v>
      </c>
      <c r="M213" s="143">
        <f t="shared" si="86"/>
        <v>-217.87584000000001</v>
      </c>
      <c r="N213" s="143">
        <f t="shared" si="86"/>
        <v>-213.83762400000001</v>
      </c>
      <c r="O213" s="143">
        <f t="shared" si="86"/>
        <v>-213.27387026399998</v>
      </c>
      <c r="P213" s="143">
        <f t="shared" si="86"/>
        <v>-211.26185262000001</v>
      </c>
      <c r="Q213" s="143">
        <f t="shared" si="86"/>
        <v>-208.51544853594001</v>
      </c>
    </row>
    <row r="214" spans="2:17" ht="15" outlineLevel="1">
      <c r="B214" s="72" t="s">
        <v>40</v>
      </c>
      <c r="C214" s="11"/>
      <c r="D214" s="9"/>
      <c r="E214" s="9"/>
      <c r="F214" s="13"/>
      <c r="G214" s="13"/>
      <c r="H214" s="13"/>
      <c r="L214" s="143">
        <f t="shared" ref="L214:Q214" si="87">-L76</f>
        <v>-105.92453219178094</v>
      </c>
      <c r="M214" s="143">
        <f t="shared" si="87"/>
        <v>4.1980241965752612</v>
      </c>
      <c r="N214" s="143">
        <f t="shared" si="87"/>
        <v>2.3924686188357782</v>
      </c>
      <c r="O214" s="143">
        <f t="shared" si="87"/>
        <v>3.435129196595085</v>
      </c>
      <c r="P214" s="143">
        <f t="shared" si="87"/>
        <v>4.4854466561495201</v>
      </c>
      <c r="Q214" s="143">
        <f t="shared" si="87"/>
        <v>-18.79298331251789</v>
      </c>
    </row>
    <row r="215" spans="2:17" ht="15.5" outlineLevel="1" thickBot="1">
      <c r="B215" s="72" t="s">
        <v>170</v>
      </c>
      <c r="C215" s="131"/>
      <c r="D215" s="147"/>
      <c r="E215" s="147"/>
      <c r="F215" s="13"/>
      <c r="G215" s="13"/>
      <c r="H215" s="13"/>
      <c r="L215" s="152">
        <f>SUM(L211:L214)</f>
        <v>33.951349008218955</v>
      </c>
      <c r="M215" s="152">
        <f t="shared" ref="M215:Q215" si="88">SUM(M211:M214)</f>
        <v>177.55116734657511</v>
      </c>
      <c r="N215" s="152">
        <f t="shared" si="88"/>
        <v>218.21886115343568</v>
      </c>
      <c r="O215" s="152">
        <f t="shared" si="88"/>
        <v>257.32273977007873</v>
      </c>
      <c r="P215" s="152">
        <f t="shared" si="88"/>
        <v>323.84739687643969</v>
      </c>
      <c r="Q215" s="152">
        <f t="shared" si="88"/>
        <v>491.04217225217769</v>
      </c>
    </row>
    <row r="216" spans="2:17" ht="16.5" outlineLevel="1">
      <c r="B216" s="105"/>
      <c r="C216" s="105"/>
      <c r="D216" s="105"/>
      <c r="E216" s="105"/>
      <c r="F216" s="105"/>
      <c r="G216" s="105"/>
      <c r="H216" s="105"/>
      <c r="L216" s="105"/>
      <c r="M216" s="105"/>
      <c r="N216" s="105"/>
      <c r="O216" s="105"/>
      <c r="P216" s="105"/>
      <c r="Q216" s="105"/>
    </row>
    <row r="217" spans="2:17" ht="20.5" outlineLevel="1">
      <c r="B217" s="56" t="s">
        <v>171</v>
      </c>
      <c r="C217" s="12"/>
      <c r="D217" s="151"/>
      <c r="E217" s="9"/>
      <c r="F217" s="9"/>
      <c r="G217" s="9"/>
      <c r="H217" s="9"/>
      <c r="L217" s="262"/>
      <c r="M217" s="262"/>
      <c r="N217" s="262"/>
      <c r="O217" s="262"/>
      <c r="P217" s="262"/>
      <c r="Q217" s="262"/>
    </row>
    <row r="218" spans="2:17" ht="15" outlineLevel="1">
      <c r="B218" s="72" t="s">
        <v>7</v>
      </c>
      <c r="C218" s="11"/>
      <c r="D218" s="9"/>
      <c r="E218" s="9"/>
      <c r="F218" s="13"/>
      <c r="G218" s="13"/>
      <c r="H218" s="13"/>
      <c r="L218" s="143">
        <f t="shared" ref="L218:Q218" si="89">L39</f>
        <v>73.096321199999878</v>
      </c>
      <c r="M218" s="143">
        <f t="shared" si="89"/>
        <v>102.75725482999988</v>
      </c>
      <c r="N218" s="143">
        <f t="shared" si="89"/>
        <v>135.85921221459998</v>
      </c>
      <c r="O218" s="143">
        <f t="shared" si="89"/>
        <v>167.67814848065166</v>
      </c>
      <c r="P218" s="143">
        <f t="shared" si="89"/>
        <v>225.17534999374942</v>
      </c>
      <c r="Q218" s="143">
        <f t="shared" si="89"/>
        <v>357.83515556469553</v>
      </c>
    </row>
    <row r="219" spans="2:17" ht="15" outlineLevel="1">
      <c r="B219" s="72" t="s">
        <v>374</v>
      </c>
      <c r="C219" s="11"/>
      <c r="D219" s="9"/>
      <c r="E219" s="9"/>
      <c r="F219" s="13"/>
      <c r="G219" s="13"/>
      <c r="H219" s="13"/>
      <c r="L219" s="143">
        <f t="shared" ref="L219:Q219" si="90">L29*-1</f>
        <v>198.70939999999999</v>
      </c>
      <c r="M219" s="143">
        <f t="shared" si="90"/>
        <v>209.5454</v>
      </c>
      <c r="N219" s="143">
        <f t="shared" si="90"/>
        <v>220.38139999999999</v>
      </c>
      <c r="O219" s="143">
        <f t="shared" si="90"/>
        <v>231.2174</v>
      </c>
      <c r="P219" s="143">
        <f t="shared" si="90"/>
        <v>242.05340000000001</v>
      </c>
      <c r="Q219" s="143">
        <f t="shared" si="90"/>
        <v>208.51544853594001</v>
      </c>
    </row>
    <row r="220" spans="2:17" ht="15" outlineLevel="1">
      <c r="B220" s="72" t="s">
        <v>375</v>
      </c>
      <c r="C220" s="11"/>
      <c r="D220" s="9"/>
      <c r="E220" s="9"/>
      <c r="F220" s="13"/>
      <c r="G220" s="13"/>
      <c r="H220" s="13"/>
      <c r="L220" s="143">
        <f t="shared" ref="L220:Q220" si="91">L166</f>
        <v>-19.765871999999984</v>
      </c>
      <c r="M220" s="143">
        <f t="shared" si="91"/>
        <v>-27.508120319999989</v>
      </c>
      <c r="N220" s="143">
        <f t="shared" si="91"/>
        <v>-27.206476319999986</v>
      </c>
      <c r="O220" s="143">
        <f t="shared" si="91"/>
        <v>-27.250284356831997</v>
      </c>
      <c r="P220" s="143">
        <f t="shared" si="91"/>
        <v>-27.580684846540805</v>
      </c>
      <c r="Q220" s="143">
        <f t="shared" si="91"/>
        <v>0</v>
      </c>
    </row>
    <row r="221" spans="2:17" ht="15" outlineLevel="1">
      <c r="B221" s="72" t="s">
        <v>139</v>
      </c>
      <c r="C221" s="11"/>
      <c r="D221" s="9"/>
      <c r="E221" s="9"/>
      <c r="F221" s="13"/>
      <c r="G221" s="13"/>
      <c r="H221" s="13"/>
      <c r="L221" s="143">
        <f t="shared" ref="L221:Q221" si="92">L32*-1</f>
        <v>200</v>
      </c>
      <c r="M221" s="143">
        <f t="shared" si="92"/>
        <v>200</v>
      </c>
      <c r="N221" s="143">
        <f t="shared" si="92"/>
        <v>200</v>
      </c>
      <c r="O221" s="143">
        <f t="shared" si="92"/>
        <v>200</v>
      </c>
      <c r="P221" s="143">
        <f t="shared" si="92"/>
        <v>200</v>
      </c>
      <c r="Q221" s="143">
        <f t="shared" si="92"/>
        <v>200</v>
      </c>
    </row>
    <row r="222" spans="2:17" ht="15" outlineLevel="1">
      <c r="B222" s="72" t="s">
        <v>172</v>
      </c>
      <c r="C222" s="11"/>
      <c r="D222" s="9"/>
      <c r="E222" s="9"/>
      <c r="G222" s="13"/>
      <c r="H222" s="13"/>
      <c r="L222" s="143">
        <f t="shared" ref="L222:Q222" si="93">L208*-1</f>
        <v>-95.443967999999984</v>
      </c>
      <c r="M222" s="143">
        <f t="shared" si="93"/>
        <v>-93.565551360000001</v>
      </c>
      <c r="N222" s="143">
        <f t="shared" si="93"/>
        <v>-99.370119360000032</v>
      </c>
      <c r="O222" s="143">
        <f t="shared" si="93"/>
        <v>-104.48378328633602</v>
      </c>
      <c r="P222" s="143">
        <f t="shared" si="93"/>
        <v>-109.02426230691839</v>
      </c>
      <c r="Q222" s="143">
        <f t="shared" si="93"/>
        <v>-48</v>
      </c>
    </row>
    <row r="223" spans="2:17" ht="15" outlineLevel="1">
      <c r="B223" s="72" t="s">
        <v>132</v>
      </c>
      <c r="C223" s="11"/>
      <c r="D223" s="9"/>
      <c r="E223" s="9"/>
      <c r="F223" s="13"/>
      <c r="G223" s="13"/>
      <c r="H223" s="13"/>
      <c r="L223" s="143">
        <f t="shared" ref="L223:Q224" si="94">L213</f>
        <v>-216.72</v>
      </c>
      <c r="M223" s="143">
        <f t="shared" si="94"/>
        <v>-217.87584000000001</v>
      </c>
      <c r="N223" s="143">
        <f t="shared" si="94"/>
        <v>-213.83762400000001</v>
      </c>
      <c r="O223" s="143">
        <f t="shared" si="94"/>
        <v>-213.27387026399998</v>
      </c>
      <c r="P223" s="143">
        <f t="shared" si="94"/>
        <v>-211.26185262000001</v>
      </c>
      <c r="Q223" s="143">
        <f t="shared" si="94"/>
        <v>-208.51544853594001</v>
      </c>
    </row>
    <row r="224" spans="2:17" ht="15" outlineLevel="1">
      <c r="B224" s="72" t="s">
        <v>40</v>
      </c>
      <c r="C224" s="11"/>
      <c r="D224" s="9"/>
      <c r="E224" s="9"/>
      <c r="F224" s="13"/>
      <c r="G224" s="13"/>
      <c r="H224" s="13"/>
      <c r="L224" s="143">
        <f t="shared" si="94"/>
        <v>-105.92453219178094</v>
      </c>
      <c r="M224" s="143">
        <f t="shared" si="94"/>
        <v>4.1980241965752612</v>
      </c>
      <c r="N224" s="143">
        <f t="shared" si="94"/>
        <v>2.3924686188357782</v>
      </c>
      <c r="O224" s="143">
        <f t="shared" si="94"/>
        <v>3.435129196595085</v>
      </c>
      <c r="P224" s="143">
        <f t="shared" si="94"/>
        <v>4.4854466561495201</v>
      </c>
      <c r="Q224" s="143">
        <f t="shared" si="94"/>
        <v>-18.79298331251789</v>
      </c>
    </row>
    <row r="225" spans="2:17" ht="15.5" outlineLevel="1" thickBot="1">
      <c r="B225" s="72" t="s">
        <v>170</v>
      </c>
      <c r="C225" s="131"/>
      <c r="D225" s="147"/>
      <c r="E225" s="147"/>
      <c r="F225" s="13"/>
      <c r="G225" s="13"/>
      <c r="H225" s="13"/>
      <c r="L225" s="152">
        <f>SUM(L218:L224)</f>
        <v>33.951349008219012</v>
      </c>
      <c r="M225" s="152">
        <f t="shared" ref="M225:Q225" si="95">SUM(M218:M224)</f>
        <v>177.55116734657511</v>
      </c>
      <c r="N225" s="152">
        <f t="shared" si="95"/>
        <v>218.21886115343574</v>
      </c>
      <c r="O225" s="152">
        <f t="shared" si="95"/>
        <v>257.32273977007873</v>
      </c>
      <c r="P225" s="152">
        <f t="shared" si="95"/>
        <v>323.84739687643969</v>
      </c>
      <c r="Q225" s="152">
        <f t="shared" si="95"/>
        <v>491.04217225217769</v>
      </c>
    </row>
    <row r="226" spans="2:17" ht="15" outlineLevel="1">
      <c r="B226" s="72"/>
      <c r="C226" s="131"/>
      <c r="D226" s="147"/>
      <c r="E226" s="147"/>
      <c r="F226" s="13"/>
      <c r="G226" s="13"/>
      <c r="H226" s="13"/>
      <c r="L226" s="261"/>
      <c r="M226" s="261"/>
      <c r="N226" s="261"/>
      <c r="O226" s="261"/>
      <c r="P226" s="261"/>
      <c r="Q226" s="261"/>
    </row>
    <row r="227" spans="2:17" ht="22">
      <c r="B227" s="231" t="s">
        <v>246</v>
      </c>
      <c r="C227" s="215"/>
      <c r="D227" s="215"/>
      <c r="E227" s="215"/>
      <c r="F227" s="215"/>
      <c r="G227" s="215"/>
      <c r="H227" s="215"/>
      <c r="I227" s="215"/>
      <c r="J227" s="215"/>
      <c r="K227" s="215"/>
      <c r="L227" s="215"/>
      <c r="M227" s="215"/>
      <c r="N227" s="215"/>
      <c r="O227" s="215"/>
      <c r="P227" s="215"/>
      <c r="Q227" s="215"/>
    </row>
    <row r="228" spans="2:17" outlineLevel="1"/>
    <row r="229" spans="2:17" ht="15" customHeight="1" outlineLevel="1">
      <c r="B229" s="106" t="s">
        <v>324</v>
      </c>
      <c r="C229" s="11"/>
      <c r="D229" s="131"/>
      <c r="E229" s="131"/>
      <c r="F229" s="12"/>
      <c r="G229" s="12"/>
      <c r="H229" s="12"/>
      <c r="I229" s="12"/>
      <c r="J229" s="12"/>
      <c r="K229" s="12"/>
      <c r="L229" s="12"/>
      <c r="M229" s="12"/>
      <c r="N229" s="12"/>
    </row>
    <row r="230" spans="2:17" ht="20.5" outlineLevel="1">
      <c r="B230" s="106"/>
      <c r="C230" s="12"/>
      <c r="D230" s="12"/>
      <c r="E230" s="107"/>
      <c r="G230" s="107"/>
      <c r="K230" s="459" t="s">
        <v>184</v>
      </c>
      <c r="L230" s="460" t="s">
        <v>185</v>
      </c>
      <c r="M230" s="461"/>
      <c r="N230" s="461"/>
      <c r="O230" s="461"/>
      <c r="P230" s="461"/>
      <c r="Q230" s="462" t="s">
        <v>165</v>
      </c>
    </row>
    <row r="231" spans="2:17" ht="20.5" outlineLevel="1">
      <c r="B231" s="12"/>
      <c r="C231" s="12"/>
      <c r="D231" s="12"/>
      <c r="E231" s="9"/>
      <c r="F231" s="12"/>
      <c r="G231" s="12"/>
      <c r="K231" s="456" t="s">
        <v>177</v>
      </c>
      <c r="L231" s="452" t="s">
        <v>177</v>
      </c>
      <c r="M231" s="452" t="s">
        <v>177</v>
      </c>
      <c r="N231" s="452" t="s">
        <v>177</v>
      </c>
      <c r="O231" s="452" t="s">
        <v>177</v>
      </c>
      <c r="P231" s="452" t="s">
        <v>177</v>
      </c>
      <c r="Q231" s="453" t="s">
        <v>177</v>
      </c>
    </row>
    <row r="232" spans="2:17" ht="20.5" outlineLevel="1">
      <c r="B232" s="46" t="s">
        <v>186</v>
      </c>
      <c r="C232" s="161">
        <f>'DCF Inputs'!G52</f>
        <v>2.5000000000000001E-2</v>
      </c>
      <c r="D232" s="12"/>
      <c r="E232" s="9"/>
      <c r="I232" s="162" t="s">
        <v>187</v>
      </c>
      <c r="J232" s="12"/>
      <c r="K232" s="457">
        <f>'DCF Inputs'!M50</f>
        <v>46164</v>
      </c>
      <c r="L232" s="454">
        <f>'DCF Inputs'!M52</f>
        <v>46387</v>
      </c>
      <c r="M232" s="448">
        <f>EDATE(L232,12)</f>
        <v>46752</v>
      </c>
      <c r="N232" s="448">
        <f t="shared" ref="N232:Q233" si="96">EDATE(M232,12)</f>
        <v>47118</v>
      </c>
      <c r="O232" s="448">
        <f t="shared" si="96"/>
        <v>47483</v>
      </c>
      <c r="P232" s="448">
        <f t="shared" si="96"/>
        <v>47848</v>
      </c>
      <c r="Q232" s="449">
        <f t="shared" si="96"/>
        <v>48213</v>
      </c>
    </row>
    <row r="233" spans="2:17" ht="20.5" outlineLevel="1">
      <c r="B233" s="115" t="s">
        <v>66</v>
      </c>
      <c r="C233" s="163">
        <f>'DCF Inputs'!M96</f>
        <v>8.3031312830457948E-2</v>
      </c>
      <c r="D233" s="131"/>
      <c r="E233" s="264"/>
      <c r="I233" s="162" t="s">
        <v>188</v>
      </c>
      <c r="J233" s="12"/>
      <c r="K233" s="458">
        <f>K232</f>
        <v>46164</v>
      </c>
      <c r="L233" s="455">
        <f>'DCF Inputs'!M51</f>
        <v>46203</v>
      </c>
      <c r="M233" s="450">
        <f>EDATE(L233,12)</f>
        <v>46568</v>
      </c>
      <c r="N233" s="450">
        <f t="shared" si="96"/>
        <v>46934</v>
      </c>
      <c r="O233" s="450">
        <f t="shared" si="96"/>
        <v>47299</v>
      </c>
      <c r="P233" s="450">
        <f t="shared" si="96"/>
        <v>47664</v>
      </c>
      <c r="Q233" s="451">
        <f t="shared" si="96"/>
        <v>48029</v>
      </c>
    </row>
    <row r="234" spans="2:17" ht="20.5" outlineLevel="1">
      <c r="B234" s="130"/>
      <c r="C234" s="11"/>
      <c r="D234" s="131"/>
      <c r="E234" s="265"/>
      <c r="I234" s="107"/>
      <c r="J234" s="107"/>
      <c r="K234" s="107"/>
      <c r="L234" s="107"/>
      <c r="M234" s="107"/>
      <c r="N234" s="107"/>
      <c r="O234" s="107"/>
      <c r="P234" s="107"/>
      <c r="Q234" s="107"/>
    </row>
    <row r="235" spans="2:17" ht="20.5" outlineLevel="1">
      <c r="B235" s="108" t="s">
        <v>170</v>
      </c>
      <c r="C235" s="12"/>
      <c r="D235" s="9"/>
      <c r="E235" s="9"/>
      <c r="I235" s="13"/>
      <c r="J235" s="13"/>
      <c r="K235" s="164">
        <v>0</v>
      </c>
      <c r="L235" s="110">
        <f t="shared" ref="L235:Q235" si="97">L225</f>
        <v>33.951349008219012</v>
      </c>
      <c r="M235" s="110">
        <f t="shared" si="97"/>
        <v>177.55116734657511</v>
      </c>
      <c r="N235" s="110">
        <f t="shared" si="97"/>
        <v>218.21886115343574</v>
      </c>
      <c r="O235" s="110">
        <f t="shared" si="97"/>
        <v>257.32273977007873</v>
      </c>
      <c r="P235" s="110">
        <f t="shared" si="97"/>
        <v>323.84739687643969</v>
      </c>
      <c r="Q235" s="111">
        <f t="shared" si="97"/>
        <v>491.04217225217769</v>
      </c>
    </row>
    <row r="236" spans="2:17" ht="20.5" outlineLevel="1">
      <c r="B236" s="106"/>
      <c r="C236" s="12"/>
      <c r="D236" s="105"/>
      <c r="E236" s="9"/>
      <c r="I236" s="105"/>
      <c r="J236" s="9"/>
      <c r="K236" s="9"/>
      <c r="L236" s="66"/>
      <c r="M236" s="66"/>
      <c r="N236" s="66"/>
      <c r="O236" s="66"/>
      <c r="P236" s="66"/>
      <c r="Q236" s="12"/>
    </row>
    <row r="237" spans="2:17" ht="20.5" outlineLevel="1">
      <c r="B237" s="56" t="s">
        <v>189</v>
      </c>
      <c r="C237" s="12"/>
      <c r="D237" s="105"/>
      <c r="E237" s="9"/>
      <c r="I237" s="105"/>
      <c r="J237" s="9"/>
      <c r="K237" s="9"/>
      <c r="L237" s="66"/>
      <c r="M237" s="66"/>
      <c r="N237" s="66"/>
      <c r="O237" s="66"/>
      <c r="P237" s="66"/>
      <c r="Q237" s="12"/>
    </row>
    <row r="238" spans="2:17" ht="20.5" outlineLevel="1">
      <c r="B238" s="72" t="s">
        <v>185</v>
      </c>
      <c r="C238" s="12"/>
      <c r="D238" s="165"/>
      <c r="E238" s="9"/>
      <c r="I238" s="105"/>
      <c r="J238" s="13"/>
      <c r="K238" s="166">
        <v>0</v>
      </c>
      <c r="L238" s="167">
        <f>L235</f>
        <v>33.951349008219012</v>
      </c>
      <c r="M238" s="167">
        <f>M235</f>
        <v>177.55116734657511</v>
      </c>
      <c r="N238" s="167">
        <f>N235</f>
        <v>218.21886115343574</v>
      </c>
      <c r="O238" s="167">
        <f>O235</f>
        <v>257.32273977007873</v>
      </c>
      <c r="P238" s="167">
        <f>P235</f>
        <v>323.84739687643969</v>
      </c>
      <c r="Q238" s="125"/>
    </row>
    <row r="239" spans="2:17" ht="20.5" outlineLevel="1">
      <c r="B239" s="72" t="s">
        <v>190</v>
      </c>
      <c r="C239" s="12"/>
      <c r="D239" s="9"/>
      <c r="E239" s="9"/>
      <c r="I239" s="105"/>
      <c r="J239" s="13"/>
      <c r="K239" s="168">
        <v>0</v>
      </c>
      <c r="L239" s="168">
        <v>0</v>
      </c>
      <c r="M239" s="168">
        <v>0</v>
      </c>
      <c r="N239" s="168">
        <v>0</v>
      </c>
      <c r="O239" s="168">
        <v>0</v>
      </c>
      <c r="P239" s="169">
        <f>Q235/(C233-C232)</f>
        <v>8461.6760900582703</v>
      </c>
      <c r="Q239" s="125"/>
    </row>
    <row r="240" spans="2:17" ht="20.5" outlineLevel="1">
      <c r="B240" s="72" t="s">
        <v>191</v>
      </c>
      <c r="C240" s="12"/>
      <c r="D240" s="147"/>
      <c r="E240" s="147"/>
      <c r="I240" s="13"/>
      <c r="J240" s="13"/>
      <c r="K240" s="170">
        <f>SUM(K238:K239)</f>
        <v>0</v>
      </c>
      <c r="L240" s="167">
        <f>SUM(L238:L239)</f>
        <v>33.951349008219012</v>
      </c>
      <c r="M240" s="167">
        <f t="shared" ref="M240:P240" si="98">SUM(M238:M239)</f>
        <v>177.55116734657511</v>
      </c>
      <c r="N240" s="167">
        <f t="shared" si="98"/>
        <v>218.21886115343574</v>
      </c>
      <c r="O240" s="167">
        <f t="shared" si="98"/>
        <v>257.32273977007873</v>
      </c>
      <c r="P240" s="167">
        <f t="shared" si="98"/>
        <v>8785.5234869347096</v>
      </c>
      <c r="Q240" s="13"/>
    </row>
    <row r="241" spans="2:17" ht="20.5" outlineLevel="1">
      <c r="B241" s="56"/>
      <c r="C241" s="12"/>
      <c r="D241" s="9"/>
      <c r="E241" s="9"/>
      <c r="I241" s="149"/>
      <c r="J241" s="149"/>
      <c r="K241" s="149"/>
      <c r="L241" s="149"/>
      <c r="M241" s="149"/>
      <c r="N241" s="149"/>
      <c r="O241" s="149"/>
      <c r="P241" s="105"/>
      <c r="Q241" s="105"/>
    </row>
    <row r="242" spans="2:17" ht="20.5" outlineLevel="1">
      <c r="B242" s="56" t="s">
        <v>192</v>
      </c>
      <c r="C242" s="12"/>
      <c r="D242" s="9"/>
      <c r="E242" s="9"/>
      <c r="I242" s="105"/>
      <c r="J242" s="9"/>
      <c r="K242" s="9"/>
      <c r="L242" s="66"/>
      <c r="M242" s="66"/>
      <c r="N242" s="66"/>
      <c r="O242" s="66"/>
      <c r="P242" s="66"/>
      <c r="Q242" s="13"/>
    </row>
    <row r="243" spans="2:17" ht="20.5" outlineLevel="1">
      <c r="B243" s="144" t="s">
        <v>193</v>
      </c>
      <c r="C243" s="12"/>
      <c r="D243" s="9"/>
      <c r="E243" s="9"/>
      <c r="I243" s="149"/>
      <c r="J243" s="149"/>
      <c r="K243" s="166">
        <v>0</v>
      </c>
      <c r="L243" s="171">
        <f>YEARFRAC(K232,L232)</f>
        <v>0.60833333333333328</v>
      </c>
      <c r="M243" s="171">
        <f>YEARFRAC(L232,M232)</f>
        <v>1</v>
      </c>
      <c r="N243" s="171">
        <f>YEARFRAC(M232,N232)</f>
        <v>1</v>
      </c>
      <c r="O243" s="171">
        <f>YEARFRAC(N232,O232)</f>
        <v>1</v>
      </c>
      <c r="P243" s="171">
        <f>YEARFRAC(O232,P232)</f>
        <v>1</v>
      </c>
      <c r="Q243" s="13"/>
    </row>
    <row r="244" spans="2:17" ht="14.5" customHeight="1" outlineLevel="1">
      <c r="B244" s="72"/>
      <c r="C244" s="12"/>
      <c r="D244" s="9"/>
      <c r="E244" s="9"/>
      <c r="I244" s="149"/>
      <c r="J244" s="149"/>
      <c r="K244" s="166"/>
      <c r="L244" s="172"/>
      <c r="M244" s="172"/>
      <c r="N244" s="172"/>
      <c r="O244" s="172"/>
      <c r="P244" s="172"/>
      <c r="Q244" s="13"/>
    </row>
    <row r="245" spans="2:17" ht="20.5" outlineLevel="1">
      <c r="B245" s="144" t="s">
        <v>185</v>
      </c>
      <c r="C245" s="12"/>
      <c r="D245" s="165"/>
      <c r="E245" s="9"/>
      <c r="I245" s="105"/>
      <c r="J245" s="13"/>
      <c r="K245" s="166">
        <v>0</v>
      </c>
      <c r="L245" s="167">
        <f>L238*L243</f>
        <v>20.653737313333231</v>
      </c>
      <c r="M245" s="167">
        <f>M238*M243</f>
        <v>177.55116734657511</v>
      </c>
      <c r="N245" s="167">
        <f t="shared" ref="N245:P245" si="99">N238*N243</f>
        <v>218.21886115343574</v>
      </c>
      <c r="O245" s="167">
        <f>O238*O243</f>
        <v>257.32273977007873</v>
      </c>
      <c r="P245" s="167">
        <f t="shared" si="99"/>
        <v>323.84739687643969</v>
      </c>
      <c r="Q245" s="13"/>
    </row>
    <row r="246" spans="2:17" ht="20.5" outlineLevel="1">
      <c r="B246" s="144" t="s">
        <v>190</v>
      </c>
      <c r="C246" s="12"/>
      <c r="D246" s="9"/>
      <c r="E246" s="9"/>
      <c r="I246" s="105"/>
      <c r="J246" s="13"/>
      <c r="K246" s="168">
        <v>0</v>
      </c>
      <c r="L246" s="167">
        <f t="shared" ref="L246:O246" si="100">L239</f>
        <v>0</v>
      </c>
      <c r="M246" s="167">
        <f t="shared" si="100"/>
        <v>0</v>
      </c>
      <c r="N246" s="167">
        <f t="shared" si="100"/>
        <v>0</v>
      </c>
      <c r="O246" s="167">
        <f t="shared" si="100"/>
        <v>0</v>
      </c>
      <c r="P246" s="167">
        <f>P239</f>
        <v>8461.6760900582703</v>
      </c>
      <c r="Q246" s="13"/>
    </row>
    <row r="247" spans="2:17" ht="20.5" outlineLevel="1">
      <c r="B247" s="144" t="s">
        <v>191</v>
      </c>
      <c r="C247" s="12"/>
      <c r="D247" s="147"/>
      <c r="E247" s="147"/>
      <c r="I247" s="13"/>
      <c r="J247" s="13"/>
      <c r="K247" s="170">
        <f>SUM(K245:K246)</f>
        <v>0</v>
      </c>
      <c r="L247" s="167">
        <f>SUM(L245:L246)</f>
        <v>20.653737313333231</v>
      </c>
      <c r="M247" s="167">
        <f t="shared" ref="M247:O247" si="101">SUM(M245:M246)</f>
        <v>177.55116734657511</v>
      </c>
      <c r="N247" s="167">
        <f t="shared" si="101"/>
        <v>218.21886115343574</v>
      </c>
      <c r="O247" s="167">
        <f t="shared" si="101"/>
        <v>257.32273977007873</v>
      </c>
      <c r="P247" s="167">
        <f>SUM(P245:P246)</f>
        <v>8785.5234869347096</v>
      </c>
      <c r="Q247" s="13"/>
    </row>
    <row r="248" spans="2:17" ht="20.5" outlineLevel="1">
      <c r="B248" s="72"/>
      <c r="C248" s="12"/>
      <c r="D248" s="9"/>
      <c r="E248" s="9"/>
      <c r="I248" s="149"/>
      <c r="J248" s="149"/>
      <c r="K248" s="166"/>
      <c r="L248" s="172"/>
      <c r="M248" s="172"/>
      <c r="N248" s="172"/>
      <c r="O248" s="172"/>
      <c r="P248" s="172"/>
      <c r="Q248" s="13"/>
    </row>
    <row r="249" spans="2:17" ht="20.5" outlineLevel="1">
      <c r="B249" s="56" t="s">
        <v>194</v>
      </c>
      <c r="C249" s="12"/>
      <c r="D249" s="9"/>
      <c r="E249" s="9"/>
      <c r="I249" s="105"/>
      <c r="J249" s="9"/>
      <c r="K249" s="9"/>
      <c r="L249" s="66"/>
      <c r="M249" s="66"/>
      <c r="N249" s="66"/>
      <c r="O249" s="66"/>
      <c r="P249" s="66"/>
      <c r="Q249" s="13"/>
    </row>
    <row r="250" spans="2:17" ht="16.5" outlineLevel="1">
      <c r="B250" s="144" t="s">
        <v>195</v>
      </c>
      <c r="C250" s="105"/>
      <c r="D250" s="9"/>
      <c r="E250" s="9"/>
      <c r="I250" s="13"/>
      <c r="J250" s="13"/>
      <c r="K250" s="173">
        <v>0</v>
      </c>
      <c r="L250" s="174">
        <f>K250+YEARFRAC(K233,L233)</f>
        <v>0.10555555555555556</v>
      </c>
      <c r="M250" s="174">
        <f>L250+YEARFRAC(L233,M233)</f>
        <v>1.1055555555555556</v>
      </c>
      <c r="N250" s="174">
        <f>M250+YEARFRAC(M233,N233)</f>
        <v>2.1055555555555556</v>
      </c>
      <c r="O250" s="174">
        <f>N250+YEARFRAC(N233,O233)</f>
        <v>3.1055555555555556</v>
      </c>
      <c r="P250" s="174">
        <f>O250+YEARFRAC(O233,P233)</f>
        <v>4.1055555555555561</v>
      </c>
      <c r="Q250" s="13"/>
    </row>
    <row r="251" spans="2:17" ht="16.5" outlineLevel="1">
      <c r="B251" s="72"/>
      <c r="C251" s="105"/>
      <c r="D251" s="9"/>
      <c r="E251" s="9"/>
      <c r="I251" s="13"/>
      <c r="J251" s="13"/>
      <c r="K251" s="173"/>
      <c r="L251" s="175"/>
      <c r="M251" s="175"/>
      <c r="N251" s="175"/>
      <c r="O251" s="175"/>
      <c r="P251" s="175"/>
      <c r="Q251" s="13"/>
    </row>
    <row r="252" spans="2:17" ht="20.5" outlineLevel="1">
      <c r="B252" s="144" t="s">
        <v>185</v>
      </c>
      <c r="C252" s="12"/>
      <c r="D252" s="165"/>
      <c r="E252" s="9"/>
      <c r="I252" s="105"/>
      <c r="J252" s="13"/>
      <c r="K252" s="96">
        <v>0</v>
      </c>
      <c r="L252" s="167">
        <f>L247/(1+$C$233)^L250</f>
        <v>20.480572748034557</v>
      </c>
      <c r="M252" s="167">
        <f>M247/(1+$C$233)^M250</f>
        <v>162.56459536666682</v>
      </c>
      <c r="N252" s="167">
        <f t="shared" ref="N252:O252" si="102">N247/(1+$C$233)^N250</f>
        <v>184.48187632989811</v>
      </c>
      <c r="O252" s="167">
        <f t="shared" si="102"/>
        <v>200.86236678091325</v>
      </c>
      <c r="P252" s="167">
        <f>P245/(1+$C$233)^P250</f>
        <v>233.41018681643075</v>
      </c>
      <c r="Q252" s="13"/>
    </row>
    <row r="253" spans="2:17" ht="20.5" outlineLevel="1">
      <c r="B253" s="144" t="s">
        <v>190</v>
      </c>
      <c r="C253" s="12"/>
      <c r="D253" s="9"/>
      <c r="E253" s="9"/>
      <c r="I253" s="105"/>
      <c r="J253" s="13"/>
      <c r="K253" s="168">
        <v>0</v>
      </c>
      <c r="L253" s="169"/>
      <c r="M253" s="169"/>
      <c r="N253" s="169"/>
      <c r="O253" s="169"/>
      <c r="P253" s="167">
        <f>P246/(1+$C$233)^P250</f>
        <v>6098.6792421684368</v>
      </c>
      <c r="Q253" s="13"/>
    </row>
    <row r="254" spans="2:17" ht="20.5" outlineLevel="1">
      <c r="B254" s="144" t="s">
        <v>191</v>
      </c>
      <c r="C254" s="12"/>
      <c r="D254" s="147"/>
      <c r="E254" s="147"/>
      <c r="I254" s="13"/>
      <c r="J254" s="13"/>
      <c r="K254" s="170">
        <f>SUM(K252:K253)</f>
        <v>0</v>
      </c>
      <c r="L254" s="167">
        <f>SUM(L252:L253)</f>
        <v>20.480572748034557</v>
      </c>
      <c r="M254" s="167">
        <f t="shared" ref="M254:O254" si="103">SUM(M252:M253)</f>
        <v>162.56459536666682</v>
      </c>
      <c r="N254" s="167">
        <f t="shared" si="103"/>
        <v>184.48187632989811</v>
      </c>
      <c r="O254" s="167">
        <f t="shared" si="103"/>
        <v>200.86236678091325</v>
      </c>
      <c r="P254" s="167">
        <f>SUM(P252:P253)</f>
        <v>6332.0894289848675</v>
      </c>
      <c r="Q254" s="13"/>
    </row>
    <row r="255" spans="2:17" ht="20.5" outlineLevel="1">
      <c r="B255" s="72"/>
      <c r="C255" s="12"/>
      <c r="D255" s="9"/>
      <c r="E255" s="9"/>
      <c r="I255" s="149"/>
      <c r="J255" s="149"/>
      <c r="K255" s="166"/>
      <c r="L255" s="172"/>
      <c r="M255" s="172"/>
      <c r="N255" s="172"/>
      <c r="O255" s="172"/>
      <c r="P255" s="172"/>
      <c r="Q255" s="13"/>
    </row>
    <row r="256" spans="2:17" ht="16.5" outlineLevel="1">
      <c r="B256" s="105"/>
      <c r="C256" s="105"/>
      <c r="D256" s="105"/>
      <c r="E256" s="105"/>
      <c r="I256" s="153"/>
      <c r="J256" s="153"/>
      <c r="K256" s="153"/>
      <c r="L256" s="153"/>
      <c r="M256" s="153"/>
      <c r="N256" s="153"/>
      <c r="O256" s="153"/>
      <c r="P256" s="153"/>
      <c r="Q256" s="105"/>
    </row>
    <row r="257" spans="2:17" ht="16.5" outlineLevel="1">
      <c r="B257" s="105"/>
      <c r="C257" s="105"/>
      <c r="D257" s="105"/>
      <c r="E257" s="105"/>
      <c r="I257" s="93" t="s">
        <v>196</v>
      </c>
      <c r="J257" s="176"/>
      <c r="K257" s="153"/>
      <c r="L257" s="153"/>
      <c r="M257" s="93" t="s">
        <v>196</v>
      </c>
      <c r="N257" s="176"/>
      <c r="O257" s="153"/>
      <c r="P257" s="153"/>
      <c r="Q257" s="105"/>
    </row>
    <row r="258" spans="2:17" ht="16.5" outlineLevel="1">
      <c r="B258" s="105"/>
      <c r="C258" s="105"/>
      <c r="D258" s="105"/>
      <c r="E258" s="105"/>
      <c r="I258" s="177" t="s">
        <v>197</v>
      </c>
      <c r="J258" s="178"/>
      <c r="K258" s="133">
        <f>SUM(L254:P254)</f>
        <v>6900.4788402103804</v>
      </c>
      <c r="L258" s="179"/>
      <c r="M258" s="177" t="s">
        <v>198</v>
      </c>
      <c r="N258" s="178"/>
      <c r="O258" s="180">
        <f>P258/$P$260</f>
        <v>0.11619477671168373</v>
      </c>
      <c r="P258" s="133">
        <f>SUM(L252:P252)</f>
        <v>801.79959804194345</v>
      </c>
      <c r="Q258" s="105"/>
    </row>
    <row r="259" spans="2:17" ht="16.5" outlineLevel="1">
      <c r="B259" s="105"/>
      <c r="C259" s="105"/>
      <c r="D259" s="105"/>
      <c r="E259" s="105"/>
      <c r="I259" s="181" t="s">
        <v>199</v>
      </c>
      <c r="J259" s="182"/>
      <c r="K259" s="183">
        <f>XNPV(C233,K247:P247,K233:P233)</f>
        <v>6898.2991232537497</v>
      </c>
      <c r="L259" s="179"/>
      <c r="M259" s="184" t="s">
        <v>200</v>
      </c>
      <c r="N259" s="153"/>
      <c r="O259" s="501">
        <f t="shared" ref="O259:O260" si="104">P259/$P$260</f>
        <v>0.88380522328831623</v>
      </c>
      <c r="P259" s="502">
        <f>P253</f>
        <v>6098.6792421684368</v>
      </c>
      <c r="Q259" s="105"/>
    </row>
    <row r="260" spans="2:17" ht="16.5" outlineLevel="1">
      <c r="B260" s="105"/>
      <c r="C260" s="105"/>
      <c r="D260" s="105"/>
      <c r="E260" s="105"/>
      <c r="I260" s="263" t="s">
        <v>250</v>
      </c>
      <c r="J260" s="105"/>
      <c r="K260" s="105"/>
      <c r="L260" s="185"/>
      <c r="M260" s="181" t="s">
        <v>201</v>
      </c>
      <c r="N260" s="182"/>
      <c r="O260" s="503">
        <f t="shared" si="104"/>
        <v>1</v>
      </c>
      <c r="P260" s="183">
        <f>P258+P259</f>
        <v>6900.4788402103804</v>
      </c>
      <c r="Q260" s="105"/>
    </row>
    <row r="261" spans="2:17" ht="16.5" outlineLevel="1">
      <c r="B261" s="105"/>
      <c r="C261" s="105"/>
      <c r="D261" s="105"/>
      <c r="E261" s="105"/>
      <c r="J261" s="153"/>
      <c r="K261" s="153"/>
      <c r="L261" s="185"/>
      <c r="M261" s="178"/>
      <c r="N261" s="178"/>
      <c r="O261" s="178"/>
      <c r="P261" s="178"/>
      <c r="Q261" s="105"/>
    </row>
    <row r="262" spans="2:17" ht="16.5" outlineLevel="1">
      <c r="B262" s="105"/>
      <c r="C262" s="105"/>
      <c r="D262" s="105"/>
      <c r="E262" s="105"/>
      <c r="I262" s="153"/>
      <c r="J262" s="153"/>
      <c r="K262" s="153"/>
      <c r="L262" s="185"/>
      <c r="M262" s="153"/>
      <c r="N262" s="153"/>
      <c r="O262" s="153"/>
      <c r="P262" s="153"/>
      <c r="Q262" s="105"/>
    </row>
    <row r="263" spans="2:17" ht="16.5" outlineLevel="1">
      <c r="B263" s="105"/>
      <c r="C263" s="105"/>
      <c r="D263" s="105"/>
      <c r="E263" s="105"/>
      <c r="I263" s="93" t="s">
        <v>202</v>
      </c>
      <c r="J263" s="13"/>
      <c r="K263" s="153"/>
      <c r="L263" s="185"/>
      <c r="M263" s="93" t="s">
        <v>203</v>
      </c>
      <c r="N263" s="13"/>
      <c r="O263" s="153"/>
      <c r="P263" s="153"/>
      <c r="Q263" s="105"/>
    </row>
    <row r="264" spans="2:17" ht="16.5" outlineLevel="1">
      <c r="B264" s="105"/>
      <c r="C264" s="105"/>
      <c r="D264" s="105"/>
      <c r="E264" s="105"/>
      <c r="I264" s="177" t="s">
        <v>201</v>
      </c>
      <c r="J264" s="178"/>
      <c r="K264" s="133">
        <f>K258</f>
        <v>6900.4788402103804</v>
      </c>
      <c r="L264" s="179"/>
      <c r="M264" s="177" t="s">
        <v>204</v>
      </c>
      <c r="N264" s="178"/>
      <c r="O264" s="178"/>
      <c r="P264" s="133">
        <f>K266</f>
        <v>2970.4788402103804</v>
      </c>
      <c r="Q264" s="105"/>
    </row>
    <row r="265" spans="2:17" ht="16.5" outlineLevel="1">
      <c r="B265" s="105"/>
      <c r="C265" s="105"/>
      <c r="D265" s="105"/>
      <c r="E265" s="105"/>
      <c r="I265" s="184" t="s">
        <v>205</v>
      </c>
      <c r="J265" s="153"/>
      <c r="K265" s="89">
        <f>-'DCF Inputs'!M41</f>
        <v>-3930</v>
      </c>
      <c r="L265" s="185"/>
      <c r="M265" s="184" t="s">
        <v>206</v>
      </c>
      <c r="N265" s="153"/>
      <c r="O265" s="504" t="s">
        <v>306</v>
      </c>
      <c r="P265" s="89">
        <f>'DCF Inputs'!G50</f>
        <v>18</v>
      </c>
      <c r="Q265" s="105"/>
    </row>
    <row r="266" spans="2:17" ht="16.5" outlineLevel="1">
      <c r="B266" s="105"/>
      <c r="C266" s="105"/>
      <c r="D266" s="105"/>
      <c r="E266" s="105"/>
      <c r="I266" s="181" t="s">
        <v>204</v>
      </c>
      <c r="J266" s="182"/>
      <c r="K266" s="111">
        <f>K264+K265</f>
        <v>2970.4788402103804</v>
      </c>
      <c r="L266" s="179"/>
      <c r="M266" s="181" t="s">
        <v>204</v>
      </c>
      <c r="N266" s="182"/>
      <c r="O266" s="505" t="s">
        <v>207</v>
      </c>
      <c r="P266" s="506">
        <f>P264/P265</f>
        <v>165.02660223391001</v>
      </c>
      <c r="Q266" s="105"/>
    </row>
    <row r="268" spans="2:17" ht="22">
      <c r="B268" s="231" t="s">
        <v>279</v>
      </c>
      <c r="C268" s="215"/>
      <c r="D268" s="215"/>
      <c r="E268" s="215"/>
      <c r="F268" s="215"/>
      <c r="G268" s="215"/>
      <c r="H268" s="215"/>
      <c r="I268" s="215"/>
      <c r="J268" s="215"/>
      <c r="K268" s="215"/>
      <c r="L268" s="215"/>
      <c r="M268" s="215"/>
      <c r="N268" s="215"/>
      <c r="O268" s="215"/>
      <c r="P268" s="215"/>
      <c r="Q268" s="215"/>
    </row>
    <row r="270" spans="2:17" ht="20.5">
      <c r="B270" s="106" t="s">
        <v>324</v>
      </c>
      <c r="C270" s="11"/>
      <c r="D270" s="131"/>
      <c r="E270" s="131"/>
      <c r="F270" s="12"/>
      <c r="G270" s="12"/>
      <c r="H270" s="12"/>
      <c r="I270" s="12"/>
      <c r="J270" s="12"/>
      <c r="K270" s="12"/>
      <c r="L270" s="12"/>
      <c r="M270" s="12"/>
      <c r="N270" s="12"/>
    </row>
    <row r="271" spans="2:17" ht="20.5">
      <c r="B271" s="106"/>
      <c r="C271" s="12"/>
      <c r="D271" s="12"/>
      <c r="E271" s="107"/>
      <c r="G271" s="107"/>
      <c r="K271" s="459" t="s">
        <v>184</v>
      </c>
      <c r="L271" s="460" t="s">
        <v>185</v>
      </c>
      <c r="M271" s="461"/>
      <c r="N271" s="461"/>
      <c r="O271" s="461"/>
      <c r="P271" s="461"/>
      <c r="Q271" s="459" t="s">
        <v>165</v>
      </c>
    </row>
    <row r="272" spans="2:17" ht="20.5">
      <c r="B272" s="12"/>
      <c r="C272" s="12"/>
      <c r="D272" s="12"/>
      <c r="E272" s="9"/>
      <c r="F272" s="12"/>
      <c r="G272" s="12"/>
      <c r="K272" s="456" t="s">
        <v>177</v>
      </c>
      <c r="L272" s="452" t="s">
        <v>177</v>
      </c>
      <c r="M272" s="452" t="s">
        <v>177</v>
      </c>
      <c r="N272" s="452" t="s">
        <v>177</v>
      </c>
      <c r="O272" s="452" t="s">
        <v>177</v>
      </c>
      <c r="P272" s="452" t="s">
        <v>177</v>
      </c>
      <c r="Q272" s="456" t="s">
        <v>177</v>
      </c>
    </row>
    <row r="273" spans="2:17" ht="20.5">
      <c r="B273" s="46" t="s">
        <v>280</v>
      </c>
      <c r="C273" s="286">
        <f>'DCF Inputs'!G53</f>
        <v>9</v>
      </c>
      <c r="D273" s="12"/>
      <c r="E273" s="9"/>
      <c r="I273" s="162" t="s">
        <v>187</v>
      </c>
      <c r="J273" s="12"/>
      <c r="K273" s="457">
        <f>K232</f>
        <v>46164</v>
      </c>
      <c r="L273" s="454">
        <f>L232</f>
        <v>46387</v>
      </c>
      <c r="M273" s="448">
        <f>EDATE(L273,12)</f>
        <v>46752</v>
      </c>
      <c r="N273" s="448">
        <f t="shared" ref="N273:N274" si="105">EDATE(M273,12)</f>
        <v>47118</v>
      </c>
      <c r="O273" s="448">
        <f t="shared" ref="O273:O274" si="106">EDATE(N273,12)</f>
        <v>47483</v>
      </c>
      <c r="P273" s="448">
        <f t="shared" ref="P273:P274" si="107">EDATE(O273,12)</f>
        <v>47848</v>
      </c>
      <c r="Q273" s="463">
        <f t="shared" ref="Q273:Q274" si="108">EDATE(P273,12)</f>
        <v>48213</v>
      </c>
    </row>
    <row r="274" spans="2:17" ht="20.5">
      <c r="B274" s="115" t="s">
        <v>66</v>
      </c>
      <c r="C274" s="163">
        <f>'DCF Inputs'!G54</f>
        <v>8.3031312830457948E-2</v>
      </c>
      <c r="D274" s="131"/>
      <c r="E274" s="264"/>
      <c r="I274" s="162" t="s">
        <v>188</v>
      </c>
      <c r="J274" s="12"/>
      <c r="K274" s="458">
        <f>K273</f>
        <v>46164</v>
      </c>
      <c r="L274" s="455">
        <f>L233</f>
        <v>46203</v>
      </c>
      <c r="M274" s="450">
        <f>EDATE(L274,12)</f>
        <v>46568</v>
      </c>
      <c r="N274" s="450">
        <f t="shared" si="105"/>
        <v>46934</v>
      </c>
      <c r="O274" s="450">
        <f t="shared" si="106"/>
        <v>47299</v>
      </c>
      <c r="P274" s="450">
        <f t="shared" si="107"/>
        <v>47664</v>
      </c>
      <c r="Q274" s="464">
        <f t="shared" si="108"/>
        <v>48029</v>
      </c>
    </row>
    <row r="275" spans="2:17" ht="20.5">
      <c r="B275" s="130"/>
      <c r="C275" s="11"/>
      <c r="D275" s="131"/>
      <c r="E275" s="265"/>
      <c r="I275" s="107"/>
      <c r="J275" s="107"/>
      <c r="K275" s="107"/>
      <c r="L275" s="107"/>
      <c r="M275" s="107"/>
      <c r="N275" s="107"/>
      <c r="O275" s="107"/>
      <c r="P275" s="107"/>
      <c r="Q275" s="107"/>
    </row>
    <row r="276" spans="2:17" ht="20.5">
      <c r="B276" s="108" t="s">
        <v>170</v>
      </c>
      <c r="C276" s="12"/>
      <c r="D276" s="9"/>
      <c r="E276" s="9"/>
      <c r="I276" s="13"/>
      <c r="J276" s="13"/>
      <c r="K276" s="164">
        <f t="shared" ref="K276:Q276" si="109">K235</f>
        <v>0</v>
      </c>
      <c r="L276" s="110">
        <f t="shared" si="109"/>
        <v>33.951349008219012</v>
      </c>
      <c r="M276" s="110">
        <f t="shared" si="109"/>
        <v>177.55116734657511</v>
      </c>
      <c r="N276" s="110">
        <f t="shared" si="109"/>
        <v>218.21886115343574</v>
      </c>
      <c r="O276" s="110">
        <f t="shared" si="109"/>
        <v>257.32273977007873</v>
      </c>
      <c r="P276" s="110">
        <f t="shared" si="109"/>
        <v>323.84739687643969</v>
      </c>
      <c r="Q276" s="111">
        <f t="shared" si="109"/>
        <v>491.04217225217769</v>
      </c>
    </row>
    <row r="277" spans="2:17" ht="20.5">
      <c r="B277" s="108" t="s">
        <v>281</v>
      </c>
      <c r="C277" s="12"/>
      <c r="D277" s="12"/>
      <c r="E277" s="12"/>
      <c r="H277" s="12"/>
      <c r="J277" s="12"/>
      <c r="K277" s="12"/>
      <c r="L277" s="12"/>
      <c r="M277" s="12"/>
      <c r="N277" s="12"/>
      <c r="O277" s="12"/>
      <c r="P277" s="12"/>
      <c r="Q277" s="500">
        <f>Q211</f>
        <v>879.3511795421183</v>
      </c>
    </row>
    <row r="278" spans="2:17" ht="20.5">
      <c r="B278" s="106"/>
      <c r="C278" s="12"/>
      <c r="D278" s="105"/>
      <c r="E278" s="9"/>
      <c r="I278" s="105"/>
      <c r="J278" s="9"/>
      <c r="K278" s="9"/>
      <c r="L278" s="66"/>
      <c r="M278" s="66"/>
      <c r="N278" s="66"/>
      <c r="O278" s="66"/>
      <c r="P278" s="66"/>
      <c r="Q278" s="12"/>
    </row>
    <row r="279" spans="2:17" ht="20.5">
      <c r="B279" s="56" t="s">
        <v>189</v>
      </c>
      <c r="C279" s="12"/>
      <c r="D279" s="105"/>
      <c r="E279" s="9"/>
      <c r="I279" s="105"/>
      <c r="J279" s="9"/>
      <c r="K279" s="9"/>
      <c r="L279" s="66"/>
      <c r="M279" s="66"/>
      <c r="N279" s="66"/>
      <c r="O279" s="66"/>
      <c r="P279" s="66"/>
      <c r="Q279" s="12"/>
    </row>
    <row r="280" spans="2:17" ht="20.5">
      <c r="B280" s="144" t="s">
        <v>185</v>
      </c>
      <c r="C280" s="12"/>
      <c r="D280" s="165"/>
      <c r="E280" s="9"/>
      <c r="G280" s="284" t="s">
        <v>282</v>
      </c>
      <c r="I280" s="105"/>
      <c r="J280" s="13"/>
      <c r="K280" s="166">
        <v>0</v>
      </c>
      <c r="L280" s="167">
        <f>L276</f>
        <v>33.951349008219012</v>
      </c>
      <c r="M280" s="167">
        <f t="shared" ref="M280:P280" si="110">M276</f>
        <v>177.55116734657511</v>
      </c>
      <c r="N280" s="167">
        <f t="shared" si="110"/>
        <v>218.21886115343574</v>
      </c>
      <c r="O280" s="167">
        <f t="shared" si="110"/>
        <v>257.32273977007873</v>
      </c>
      <c r="P280" s="167">
        <f t="shared" si="110"/>
        <v>323.84739687643969</v>
      </c>
      <c r="Q280" s="167">
        <f t="shared" ref="Q280" si="111">Q276</f>
        <v>491.04217225217769</v>
      </c>
    </row>
    <row r="281" spans="2:17" ht="20.5">
      <c r="B281" s="144" t="s">
        <v>190</v>
      </c>
      <c r="C281" s="12"/>
      <c r="D281" s="9"/>
      <c r="E281" s="9"/>
      <c r="G281" s="499" t="s">
        <v>283</v>
      </c>
      <c r="I281" s="105"/>
      <c r="J281" s="13"/>
      <c r="K281" s="168">
        <v>0</v>
      </c>
      <c r="L281" s="168">
        <v>0</v>
      </c>
      <c r="M281" s="168">
        <v>0</v>
      </c>
      <c r="N281" s="168">
        <v>0</v>
      </c>
      <c r="O281" s="168">
        <v>0</v>
      </c>
      <c r="Q281" s="169">
        <f>(Q277*C273)/(1+C274)^G282</f>
        <v>7604.7396995996769</v>
      </c>
    </row>
    <row r="282" spans="2:17" ht="20.5">
      <c r="B282" s="144" t="s">
        <v>191</v>
      </c>
      <c r="C282" s="12"/>
      <c r="D282" s="147"/>
      <c r="E282" s="147"/>
      <c r="G282" s="285">
        <f>YEARFRAC(Q274,Q273)</f>
        <v>0.5</v>
      </c>
      <c r="I282" s="13"/>
      <c r="J282" s="13"/>
      <c r="K282" s="170">
        <f>SUM(K280:K281)</f>
        <v>0</v>
      </c>
      <c r="L282" s="167">
        <f>SUM(L280:L281)</f>
        <v>33.951349008219012</v>
      </c>
      <c r="M282" s="167">
        <f t="shared" ref="M282:P282" si="112">SUM(M280:M281)</f>
        <v>177.55116734657511</v>
      </c>
      <c r="N282" s="167">
        <f t="shared" si="112"/>
        <v>218.21886115343574</v>
      </c>
      <c r="O282" s="167">
        <f t="shared" si="112"/>
        <v>257.32273977007873</v>
      </c>
      <c r="P282" s="167">
        <f t="shared" si="112"/>
        <v>323.84739687643969</v>
      </c>
      <c r="Q282" s="167">
        <f>SUM(Q280:Q281)</f>
        <v>8095.7818718518547</v>
      </c>
    </row>
    <row r="283" spans="2:17" ht="20.5">
      <c r="B283" s="56"/>
      <c r="C283" s="12"/>
      <c r="D283" s="9"/>
      <c r="E283" s="9"/>
      <c r="I283" s="149"/>
      <c r="J283" s="149"/>
      <c r="K283" s="149"/>
      <c r="L283" s="149"/>
      <c r="M283" s="149"/>
      <c r="N283" s="149"/>
      <c r="O283" s="149"/>
      <c r="P283" s="105"/>
      <c r="Q283" s="105"/>
    </row>
    <row r="284" spans="2:17" ht="20.5">
      <c r="B284" s="56" t="s">
        <v>192</v>
      </c>
      <c r="C284" s="12"/>
      <c r="D284" s="9"/>
      <c r="E284" s="9"/>
      <c r="I284" s="105"/>
      <c r="J284" s="9"/>
      <c r="K284" s="9"/>
      <c r="L284" s="66"/>
      <c r="M284" s="66"/>
      <c r="N284" s="66"/>
      <c r="O284" s="66"/>
      <c r="P284" s="66"/>
      <c r="Q284" s="66"/>
    </row>
    <row r="285" spans="2:17" ht="20.5">
      <c r="B285" s="144" t="s">
        <v>193</v>
      </c>
      <c r="C285" s="12"/>
      <c r="D285" s="9"/>
      <c r="E285" s="9"/>
      <c r="I285" s="149"/>
      <c r="J285" s="149"/>
      <c r="K285" s="166">
        <v>0</v>
      </c>
      <c r="L285" s="171">
        <f>YEARFRAC(K273,L273)</f>
        <v>0.60833333333333328</v>
      </c>
      <c r="M285" s="171">
        <f t="shared" ref="M285" si="113">YEARFRAC(L273,M273)</f>
        <v>1</v>
      </c>
      <c r="N285" s="171">
        <f t="shared" ref="N285" si="114">YEARFRAC(M273,N273)</f>
        <v>1</v>
      </c>
      <c r="O285" s="171">
        <f t="shared" ref="O285" si="115">YEARFRAC(N273,O273)</f>
        <v>1</v>
      </c>
      <c r="P285" s="171">
        <f t="shared" ref="P285:Q285" si="116">YEARFRAC(O273,P273)</f>
        <v>1</v>
      </c>
      <c r="Q285" s="171">
        <f t="shared" si="116"/>
        <v>1</v>
      </c>
    </row>
    <row r="286" spans="2:17" ht="20.5">
      <c r="B286" s="72"/>
      <c r="C286" s="12"/>
      <c r="D286" s="9"/>
      <c r="E286" s="9"/>
      <c r="I286" s="149"/>
      <c r="J286" s="149"/>
      <c r="K286" s="166"/>
      <c r="L286" s="172"/>
      <c r="M286" s="172"/>
      <c r="N286" s="172"/>
      <c r="O286" s="172"/>
      <c r="P286" s="172"/>
      <c r="Q286" s="172"/>
    </row>
    <row r="287" spans="2:17" ht="20.5">
      <c r="B287" s="144" t="s">
        <v>185</v>
      </c>
      <c r="C287" s="12"/>
      <c r="D287" s="165"/>
      <c r="E287" s="9"/>
      <c r="I287" s="105"/>
      <c r="J287" s="13"/>
      <c r="K287" s="166">
        <v>0</v>
      </c>
      <c r="L287" s="167">
        <f>L280*L285</f>
        <v>20.653737313333231</v>
      </c>
      <c r="M287" s="167">
        <f>M280*M285</f>
        <v>177.55116734657511</v>
      </c>
      <c r="N287" s="167">
        <f t="shared" ref="N287" si="117">N280*N285</f>
        <v>218.21886115343574</v>
      </c>
      <c r="O287" s="167">
        <f>O280*O285</f>
        <v>257.32273977007873</v>
      </c>
      <c r="P287" s="167">
        <f t="shared" ref="P287" si="118">P280*P285</f>
        <v>323.84739687643969</v>
      </c>
      <c r="Q287" s="167">
        <f t="shared" ref="Q287" si="119">Q280*Q285</f>
        <v>491.04217225217769</v>
      </c>
    </row>
    <row r="288" spans="2:17" ht="20.5">
      <c r="B288" s="144" t="s">
        <v>190</v>
      </c>
      <c r="C288" s="12"/>
      <c r="D288" s="9"/>
      <c r="E288" s="9"/>
      <c r="I288" s="105"/>
      <c r="J288" s="13"/>
      <c r="K288" s="168">
        <v>0</v>
      </c>
      <c r="L288" s="167">
        <f t="shared" ref="L288:O288" si="120">L281</f>
        <v>0</v>
      </c>
      <c r="M288" s="167">
        <f t="shared" si="120"/>
        <v>0</v>
      </c>
      <c r="N288" s="167">
        <f t="shared" si="120"/>
        <v>0</v>
      </c>
      <c r="O288" s="167">
        <f t="shared" si="120"/>
        <v>0</v>
      </c>
      <c r="Q288" s="167">
        <f>Q281</f>
        <v>7604.7396995996769</v>
      </c>
    </row>
    <row r="289" spans="2:17" ht="20.5">
      <c r="B289" s="144" t="s">
        <v>191</v>
      </c>
      <c r="C289" s="12"/>
      <c r="D289" s="147"/>
      <c r="E289" s="147"/>
      <c r="I289" s="13"/>
      <c r="J289" s="13"/>
      <c r="K289" s="170">
        <f>SUM(K287:K288)</f>
        <v>0</v>
      </c>
      <c r="L289" s="167">
        <f>SUM(L287:L288)</f>
        <v>20.653737313333231</v>
      </c>
      <c r="M289" s="167">
        <f t="shared" ref="M289:O289" si="121">SUM(M287:M288)</f>
        <v>177.55116734657511</v>
      </c>
      <c r="N289" s="167">
        <f t="shared" si="121"/>
        <v>218.21886115343574</v>
      </c>
      <c r="O289" s="167">
        <f t="shared" si="121"/>
        <v>257.32273977007873</v>
      </c>
      <c r="P289" s="167">
        <f>SUM(P287:P288)</f>
        <v>323.84739687643969</v>
      </c>
      <c r="Q289" s="167">
        <f>SUM(Q287:Q288)</f>
        <v>8095.7818718518547</v>
      </c>
    </row>
    <row r="290" spans="2:17" ht="20.5">
      <c r="B290" s="72"/>
      <c r="C290" s="12"/>
      <c r="D290" s="9"/>
      <c r="E290" s="9"/>
      <c r="I290" s="149"/>
      <c r="J290" s="149"/>
      <c r="K290" s="166"/>
      <c r="L290" s="172"/>
      <c r="M290" s="172"/>
      <c r="N290" s="172"/>
      <c r="O290" s="172"/>
      <c r="P290" s="172"/>
      <c r="Q290" s="172"/>
    </row>
    <row r="291" spans="2:17" ht="20.5">
      <c r="B291" s="56" t="s">
        <v>194</v>
      </c>
      <c r="C291" s="12"/>
      <c r="D291" s="9"/>
      <c r="E291" s="9"/>
      <c r="I291" s="105"/>
      <c r="J291" s="9"/>
      <c r="K291" s="9"/>
      <c r="L291" s="66"/>
      <c r="M291" s="66"/>
      <c r="N291" s="66"/>
      <c r="O291" s="66"/>
      <c r="P291" s="66"/>
      <c r="Q291" s="66"/>
    </row>
    <row r="292" spans="2:17" ht="16.5">
      <c r="B292" s="144" t="s">
        <v>195</v>
      </c>
      <c r="C292" s="105"/>
      <c r="D292" s="9"/>
      <c r="E292" s="9"/>
      <c r="I292" s="13"/>
      <c r="J292" s="13"/>
      <c r="K292" s="173">
        <v>0</v>
      </c>
      <c r="L292" s="174">
        <f>K292+YEARFRAC(K274,L274)</f>
        <v>0.10555555555555556</v>
      </c>
      <c r="M292" s="174">
        <f t="shared" ref="M292" si="122">L292+YEARFRAC(L274,M274)</f>
        <v>1.1055555555555556</v>
      </c>
      <c r="N292" s="174">
        <f t="shared" ref="N292" si="123">M292+YEARFRAC(M274,N274)</f>
        <v>2.1055555555555556</v>
      </c>
      <c r="O292" s="174">
        <f t="shared" ref="O292" si="124">N292+YEARFRAC(N274,O274)</f>
        <v>3.1055555555555556</v>
      </c>
      <c r="P292" s="174">
        <f t="shared" ref="P292:Q292" si="125">O292+YEARFRAC(O274,P274)</f>
        <v>4.1055555555555561</v>
      </c>
      <c r="Q292" s="174">
        <f t="shared" si="125"/>
        <v>5.1055555555555561</v>
      </c>
    </row>
    <row r="293" spans="2:17" ht="16.5">
      <c r="B293" s="72"/>
      <c r="C293" s="105"/>
      <c r="D293" s="9"/>
      <c r="E293" s="9"/>
      <c r="I293" s="13"/>
      <c r="J293" s="13"/>
      <c r="K293" s="173"/>
      <c r="L293" s="175"/>
      <c r="M293" s="175"/>
      <c r="N293" s="175"/>
      <c r="O293" s="175"/>
      <c r="P293" s="175"/>
      <c r="Q293" s="175"/>
    </row>
    <row r="294" spans="2:17" ht="20.5">
      <c r="B294" s="144" t="s">
        <v>185</v>
      </c>
      <c r="C294" s="12"/>
      <c r="D294" s="165"/>
      <c r="E294" s="9"/>
      <c r="I294" s="105"/>
      <c r="J294" s="13"/>
      <c r="K294" s="96">
        <v>0</v>
      </c>
      <c r="L294" s="167">
        <f>L289/(1+$C$274)^L292</f>
        <v>20.480572748034557</v>
      </c>
      <c r="M294" s="167">
        <f>M289/(1+$C$274)^M292</f>
        <v>162.56459536666682</v>
      </c>
      <c r="N294" s="167">
        <f>N289/(1+$C$274)^N292</f>
        <v>184.48187632989811</v>
      </c>
      <c r="O294" s="167">
        <f>O289/(1+$C$274)^O292</f>
        <v>200.86236678091325</v>
      </c>
      <c r="P294" s="167">
        <f>P287/(1+$C$274)^P292</f>
        <v>233.41018681643075</v>
      </c>
      <c r="Q294" s="167">
        <f>Q287/(1+$C$274)^Q292</f>
        <v>326.78128394086411</v>
      </c>
    </row>
    <row r="295" spans="2:17" ht="20.5">
      <c r="B295" s="144" t="s">
        <v>190</v>
      </c>
      <c r="C295" s="12"/>
      <c r="D295" s="9"/>
      <c r="E295" s="9"/>
      <c r="I295" s="105"/>
      <c r="J295" s="13"/>
      <c r="K295" s="168">
        <v>0</v>
      </c>
      <c r="L295" s="169"/>
      <c r="M295" s="169"/>
      <c r="N295" s="169"/>
      <c r="O295" s="169"/>
      <c r="Q295" s="167">
        <f>Q288/(1+$C$274)^Q292</f>
        <v>5060.8414989558414</v>
      </c>
    </row>
    <row r="296" spans="2:17" ht="20.5">
      <c r="B296" s="144" t="s">
        <v>191</v>
      </c>
      <c r="C296" s="12"/>
      <c r="D296" s="147"/>
      <c r="E296" s="147"/>
      <c r="I296" s="13"/>
      <c r="J296" s="13"/>
      <c r="K296" s="170">
        <f>SUM(K294:K295)</f>
        <v>0</v>
      </c>
      <c r="L296" s="167">
        <f>SUM(L294:L295)</f>
        <v>20.480572748034557</v>
      </c>
      <c r="M296" s="167">
        <f t="shared" ref="M296:O296" si="126">SUM(M294:M295)</f>
        <v>162.56459536666682</v>
      </c>
      <c r="N296" s="167">
        <f t="shared" si="126"/>
        <v>184.48187632989811</v>
      </c>
      <c r="O296" s="167">
        <f t="shared" si="126"/>
        <v>200.86236678091325</v>
      </c>
      <c r="P296" s="167">
        <f>SUM(P294:P295)</f>
        <v>233.41018681643075</v>
      </c>
      <c r="Q296" s="167">
        <f>SUM(Q294:Q295)</f>
        <v>5387.6227828967058</v>
      </c>
    </row>
    <row r="297" spans="2:17" ht="20.5">
      <c r="B297" s="72"/>
      <c r="C297" s="12"/>
      <c r="D297" s="9"/>
      <c r="E297" s="9"/>
      <c r="I297" s="149"/>
      <c r="J297" s="149"/>
      <c r="K297" s="166"/>
      <c r="L297" s="172"/>
      <c r="M297" s="172"/>
      <c r="N297" s="172"/>
      <c r="O297" s="172"/>
      <c r="P297" s="172"/>
      <c r="Q297" s="13"/>
    </row>
    <row r="298" spans="2:17" ht="16.5">
      <c r="B298" s="105"/>
      <c r="C298" s="105"/>
      <c r="D298" s="105"/>
      <c r="E298" s="105"/>
      <c r="I298" s="153"/>
      <c r="J298" s="153"/>
      <c r="K298" s="153"/>
      <c r="L298" s="153"/>
      <c r="M298" s="153"/>
      <c r="N298" s="153"/>
      <c r="O298" s="153"/>
      <c r="P298" s="153"/>
      <c r="Q298" s="105"/>
    </row>
    <row r="299" spans="2:17" ht="16.5">
      <c r="B299" s="105"/>
      <c r="C299" s="105"/>
      <c r="D299" s="105"/>
      <c r="E299" s="105"/>
      <c r="I299" s="93" t="s">
        <v>196</v>
      </c>
      <c r="J299" s="176"/>
      <c r="K299" s="153"/>
      <c r="L299" s="153"/>
      <c r="M299" s="93" t="s">
        <v>196</v>
      </c>
      <c r="N299" s="176"/>
      <c r="O299" s="153"/>
      <c r="P299" s="153"/>
      <c r="Q299" s="105"/>
    </row>
    <row r="300" spans="2:17" ht="16.5">
      <c r="B300" s="105"/>
      <c r="C300" s="105"/>
      <c r="D300" s="105"/>
      <c r="E300" s="105"/>
      <c r="I300" s="177" t="s">
        <v>197</v>
      </c>
      <c r="J300" s="178"/>
      <c r="K300" s="133">
        <f>SUM(L296:Q296)</f>
        <v>6189.4223809386494</v>
      </c>
      <c r="L300" s="179"/>
      <c r="M300" s="177" t="s">
        <v>198</v>
      </c>
      <c r="N300" s="178"/>
      <c r="O300" s="180">
        <f>P300/$P$260</f>
        <v>0.16355109668713941</v>
      </c>
      <c r="P300" s="133">
        <f>SUM(L294:Q294)</f>
        <v>1128.5808819828076</v>
      </c>
      <c r="Q300" s="105"/>
    </row>
    <row r="301" spans="2:17" ht="16.5">
      <c r="B301" s="105"/>
      <c r="C301" s="105"/>
      <c r="D301" s="105"/>
      <c r="E301" s="105"/>
      <c r="I301" s="181" t="s">
        <v>199</v>
      </c>
      <c r="J301" s="182"/>
      <c r="K301" s="183">
        <f>XNPV(C274,K289:Q289,K274:Q274)</f>
        <v>6187.471392862939</v>
      </c>
      <c r="L301" s="179"/>
      <c r="M301" s="184" t="s">
        <v>200</v>
      </c>
      <c r="N301" s="153"/>
      <c r="O301" s="501">
        <f t="shared" ref="O301:O302" si="127">P301/$P$260</f>
        <v>0.73340439354228171</v>
      </c>
      <c r="P301" s="502">
        <f>Q295</f>
        <v>5060.8414989558414</v>
      </c>
      <c r="Q301" s="105"/>
    </row>
    <row r="302" spans="2:17" ht="16.5">
      <c r="B302" s="105"/>
      <c r="C302" s="105"/>
      <c r="D302" s="105"/>
      <c r="E302" s="105"/>
      <c r="I302" s="263" t="s">
        <v>250</v>
      </c>
      <c r="J302" s="105"/>
      <c r="K302" s="105"/>
      <c r="L302" s="185"/>
      <c r="M302" s="181" t="s">
        <v>201</v>
      </c>
      <c r="N302" s="182"/>
      <c r="O302" s="503">
        <f t="shared" si="127"/>
        <v>0.89695549022942123</v>
      </c>
      <c r="P302" s="183">
        <f>P300+P301</f>
        <v>6189.4223809386494</v>
      </c>
      <c r="Q302" s="105"/>
    </row>
    <row r="303" spans="2:17" ht="16.5">
      <c r="B303" s="105"/>
      <c r="C303" s="105"/>
      <c r="D303" s="105"/>
      <c r="E303" s="105"/>
      <c r="J303" s="153"/>
      <c r="K303" s="153"/>
      <c r="L303" s="185"/>
      <c r="M303" s="178"/>
      <c r="N303" s="178"/>
      <c r="O303" s="178"/>
      <c r="P303" s="178"/>
      <c r="Q303" s="105"/>
    </row>
    <row r="304" spans="2:17" ht="16.5">
      <c r="B304" s="105"/>
      <c r="C304" s="105"/>
      <c r="D304" s="105"/>
      <c r="E304" s="105"/>
      <c r="I304" s="153"/>
      <c r="J304" s="153"/>
      <c r="K304" s="153"/>
      <c r="L304" s="185"/>
      <c r="M304" s="153"/>
      <c r="N304" s="153"/>
      <c r="O304" s="153"/>
      <c r="P304" s="153"/>
      <c r="Q304" s="105"/>
    </row>
    <row r="305" spans="2:17" ht="16.5">
      <c r="B305" s="105"/>
      <c r="C305" s="105"/>
      <c r="D305" s="105"/>
      <c r="E305" s="105"/>
      <c r="I305" s="93" t="s">
        <v>202</v>
      </c>
      <c r="J305" s="13"/>
      <c r="K305" s="153"/>
      <c r="L305" s="185"/>
      <c r="M305" s="93" t="s">
        <v>203</v>
      </c>
      <c r="N305" s="13"/>
      <c r="O305" s="153"/>
      <c r="P305" s="153"/>
      <c r="Q305" s="105"/>
    </row>
    <row r="306" spans="2:17" ht="16.5">
      <c r="B306" s="105"/>
      <c r="C306" s="105"/>
      <c r="D306" s="105"/>
      <c r="E306" s="105"/>
      <c r="I306" s="177" t="s">
        <v>201</v>
      </c>
      <c r="J306" s="178"/>
      <c r="K306" s="133">
        <f>K300</f>
        <v>6189.4223809386494</v>
      </c>
      <c r="L306" s="179"/>
      <c r="M306" s="177" t="s">
        <v>204</v>
      </c>
      <c r="N306" s="178"/>
      <c r="O306" s="178"/>
      <c r="P306" s="133">
        <f>K308</f>
        <v>2259.4223809386494</v>
      </c>
      <c r="Q306" s="105"/>
    </row>
    <row r="307" spans="2:17" ht="16.5">
      <c r="B307" s="105"/>
      <c r="C307" s="105"/>
      <c r="D307" s="105"/>
      <c r="E307" s="105"/>
      <c r="I307" s="184" t="s">
        <v>205</v>
      </c>
      <c r="J307" s="153"/>
      <c r="K307" s="89">
        <f>K265</f>
        <v>-3930</v>
      </c>
      <c r="L307" s="185"/>
      <c r="M307" s="184" t="s">
        <v>206</v>
      </c>
      <c r="N307" s="153"/>
      <c r="O307" s="504" t="s">
        <v>306</v>
      </c>
      <c r="P307" s="89">
        <f>P265</f>
        <v>18</v>
      </c>
      <c r="Q307" s="105"/>
    </row>
    <row r="308" spans="2:17" ht="16.5">
      <c r="B308" s="105"/>
      <c r="C308" s="105"/>
      <c r="D308" s="105"/>
      <c r="E308" s="105"/>
      <c r="I308" s="181" t="s">
        <v>204</v>
      </c>
      <c r="J308" s="182"/>
      <c r="K308" s="111">
        <f>K306+K307</f>
        <v>2259.4223809386494</v>
      </c>
      <c r="L308" s="179"/>
      <c r="M308" s="181" t="s">
        <v>204</v>
      </c>
      <c r="N308" s="182"/>
      <c r="O308" s="505" t="s">
        <v>207</v>
      </c>
      <c r="P308" s="506">
        <f>P306/P307</f>
        <v>125.52346560770275</v>
      </c>
      <c r="Q308" s="105"/>
    </row>
    <row r="312" spans="2:17">
      <c r="B312" s="467"/>
      <c r="C312" s="467"/>
      <c r="D312" s="467"/>
      <c r="E312" s="467"/>
      <c r="F312" s="467"/>
      <c r="G312" s="467"/>
      <c r="H312" s="467"/>
      <c r="I312" s="467"/>
      <c r="J312" s="467"/>
      <c r="K312" s="467"/>
      <c r="L312" s="467"/>
      <c r="M312" s="467"/>
      <c r="N312" s="467"/>
      <c r="O312" s="467"/>
      <c r="P312" s="467"/>
      <c r="Q312" s="467"/>
    </row>
    <row r="313" spans="2:17" ht="16.5">
      <c r="B313" s="468"/>
      <c r="C313" s="468"/>
      <c r="D313" s="469" t="s">
        <v>273</v>
      </c>
      <c r="E313" s="470"/>
      <c r="F313" s="470"/>
      <c r="G313" s="470"/>
      <c r="H313" s="470"/>
      <c r="I313" s="467"/>
      <c r="J313" s="468"/>
      <c r="K313" s="468"/>
      <c r="L313" s="469" t="s">
        <v>294</v>
      </c>
      <c r="M313" s="470"/>
      <c r="N313" s="470"/>
      <c r="O313" s="470"/>
      <c r="P313" s="470"/>
      <c r="Q313" s="467"/>
    </row>
    <row r="314" spans="2:17" ht="14.5">
      <c r="B314" s="471"/>
      <c r="C314" s="472">
        <f>K258</f>
        <v>6900.4788402103804</v>
      </c>
      <c r="D314" s="465">
        <f>E314-0.0025</f>
        <v>2.0000000000000004E-2</v>
      </c>
      <c r="E314" s="465">
        <f>F314-0.0025</f>
        <v>2.2500000000000003E-2</v>
      </c>
      <c r="F314" s="465">
        <v>2.5000000000000001E-2</v>
      </c>
      <c r="G314" s="465">
        <f>F314+0.0025</f>
        <v>2.75E-2</v>
      </c>
      <c r="H314" s="465">
        <f>G314+0.0025</f>
        <v>0.03</v>
      </c>
      <c r="I314" s="467"/>
      <c r="J314" s="471"/>
      <c r="K314" s="472">
        <f>K300</f>
        <v>6189.4223809386494</v>
      </c>
      <c r="L314" s="466">
        <v>8</v>
      </c>
      <c r="M314" s="466">
        <v>8.5</v>
      </c>
      <c r="N314" s="466">
        <v>9</v>
      </c>
      <c r="O314" s="466">
        <v>9.5</v>
      </c>
      <c r="P314" s="466">
        <v>10</v>
      </c>
      <c r="Q314" s="467"/>
    </row>
    <row r="315" spans="2:17" ht="14.5">
      <c r="B315" s="696" t="s">
        <v>66</v>
      </c>
      <c r="C315" s="465">
        <v>7.303131283045794E-2</v>
      </c>
      <c r="D315" s="473">
        <f t="dataTable" ref="D315:H319" dt2D="1" dtr="1" r1="C232" r2="C233" ca="1"/>
        <v>7754.8150136627564</v>
      </c>
      <c r="E315" s="473">
        <v>8097.8077714364481</v>
      </c>
      <c r="F315" s="473">
        <v>8476.5056492205367</v>
      </c>
      <c r="G315" s="473">
        <v>8896.7900588046468</v>
      </c>
      <c r="H315" s="473">
        <v>9365.9091868692285</v>
      </c>
      <c r="I315" s="467"/>
      <c r="J315" s="696" t="s">
        <v>66</v>
      </c>
      <c r="K315" s="465">
        <v>7.303131283045794E-2</v>
      </c>
      <c r="L315" s="473">
        <f t="dataTable" ref="L315:P319" dt2D="1" dtr="1" r1="C273" r2="C274" ca="1"/>
        <v>5903.3259578289217</v>
      </c>
      <c r="M315" s="473">
        <v>6199.4903694774512</v>
      </c>
      <c r="N315" s="473">
        <v>6495.6547811259816</v>
      </c>
      <c r="O315" s="473">
        <v>6791.819192774512</v>
      </c>
      <c r="P315" s="473">
        <v>7087.9836044230433</v>
      </c>
      <c r="Q315" s="467"/>
    </row>
    <row r="316" spans="2:17" ht="14.5">
      <c r="B316" s="696"/>
      <c r="C316" s="465">
        <v>7.8031312830457944E-2</v>
      </c>
      <c r="D316" s="473">
        <v>7027.4824805003291</v>
      </c>
      <c r="E316" s="473">
        <v>7307.3087861030817</v>
      </c>
      <c r="F316" s="473">
        <v>7613.5182124195699</v>
      </c>
      <c r="G316" s="473">
        <v>7950.0266166533611</v>
      </c>
      <c r="H316" s="473">
        <v>8321.565127749067</v>
      </c>
      <c r="I316" s="467"/>
      <c r="J316" s="696"/>
      <c r="K316" s="465">
        <v>7.8031312830457944E-2</v>
      </c>
      <c r="L316" s="473">
        <v>5763.1663946870858</v>
      </c>
      <c r="M316" s="473">
        <v>6051.712598871236</v>
      </c>
      <c r="N316" s="473">
        <v>6340.2588030553861</v>
      </c>
      <c r="O316" s="473">
        <v>6628.8050072395363</v>
      </c>
      <c r="P316" s="473">
        <v>6917.3512114236864</v>
      </c>
      <c r="Q316" s="467"/>
    </row>
    <row r="317" spans="2:17" ht="14.5">
      <c r="B317" s="696"/>
      <c r="C317" s="465">
        <v>8.3031312830457948E-2</v>
      </c>
      <c r="D317" s="473">
        <v>6416.6971316988747</v>
      </c>
      <c r="E317" s="473">
        <v>6648.5976667733275</v>
      </c>
      <c r="F317" s="474">
        <v>6900.4788402103804</v>
      </c>
      <c r="G317" s="473">
        <v>7175.0392157586875</v>
      </c>
      <c r="H317" s="473">
        <v>7475.4862194983507</v>
      </c>
      <c r="I317" s="467"/>
      <c r="J317" s="696"/>
      <c r="K317" s="465">
        <v>8.3031312830457948E-2</v>
      </c>
      <c r="L317" s="473">
        <v>5627.1066588324447</v>
      </c>
      <c r="M317" s="473">
        <v>5908.264519885548</v>
      </c>
      <c r="N317" s="474">
        <v>6189.4223809386494</v>
      </c>
      <c r="O317" s="473">
        <v>6470.5802419917527</v>
      </c>
      <c r="P317" s="473">
        <v>6751.7381030448551</v>
      </c>
      <c r="Q317" s="467"/>
    </row>
    <row r="318" spans="2:17" ht="14.5">
      <c r="B318" s="696"/>
      <c r="C318" s="465">
        <v>8.8031312830457953E-2</v>
      </c>
      <c r="D318" s="473">
        <v>5896.7339219401938</v>
      </c>
      <c r="E318" s="473">
        <v>6091.4795877198476</v>
      </c>
      <c r="F318" s="473">
        <v>6301.6735804527625</v>
      </c>
      <c r="G318" s="473">
        <v>6529.2299913213665</v>
      </c>
      <c r="H318" s="473">
        <v>6776.3927491576351</v>
      </c>
      <c r="I318" s="467"/>
      <c r="J318" s="696"/>
      <c r="K318" s="465">
        <v>8.8031312830457953E-2</v>
      </c>
      <c r="L318" s="473">
        <v>5495.0073992487514</v>
      </c>
      <c r="M318" s="473">
        <v>5768.9988321971769</v>
      </c>
      <c r="N318" s="473">
        <v>6042.9902651456032</v>
      </c>
      <c r="O318" s="473">
        <v>6316.9816980940295</v>
      </c>
      <c r="P318" s="473">
        <v>6590.973131042455</v>
      </c>
      <c r="Q318" s="467"/>
    </row>
    <row r="319" spans="2:17" ht="14.5">
      <c r="B319" s="696"/>
      <c r="C319" s="465">
        <v>9.3031312830457957E-2</v>
      </c>
      <c r="D319" s="473">
        <v>5448.9135475401026</v>
      </c>
      <c r="E319" s="473">
        <v>5614.3226575961326</v>
      </c>
      <c r="F319" s="473">
        <v>5791.8886042009608</v>
      </c>
      <c r="G319" s="473">
        <v>5983.0027263981392</v>
      </c>
      <c r="H319" s="473">
        <v>6189.2771009853668</v>
      </c>
      <c r="I319" s="467"/>
      <c r="J319" s="696"/>
      <c r="K319" s="465">
        <v>9.3031312830457957E-2</v>
      </c>
      <c r="L319" s="473">
        <v>5366.7346322170224</v>
      </c>
      <c r="M319" s="473">
        <v>5633.7739124231566</v>
      </c>
      <c r="N319" s="473">
        <v>5900.8131926292908</v>
      </c>
      <c r="O319" s="473">
        <v>6167.8524728354259</v>
      </c>
      <c r="P319" s="473">
        <v>6434.8917530415592</v>
      </c>
      <c r="Q319" s="467"/>
    </row>
    <row r="320" spans="2:17">
      <c r="B320" s="467"/>
      <c r="C320" s="467"/>
      <c r="D320" s="467"/>
      <c r="E320" s="467"/>
      <c r="F320" s="467"/>
      <c r="G320" s="467"/>
      <c r="H320" s="467"/>
      <c r="I320" s="467"/>
      <c r="J320" s="467"/>
      <c r="K320" s="467"/>
      <c r="L320" s="467"/>
      <c r="M320" s="467"/>
      <c r="N320" s="467"/>
      <c r="O320" s="467"/>
      <c r="P320" s="467"/>
      <c r="Q320" s="467"/>
    </row>
  </sheetData>
  <mergeCells count="2">
    <mergeCell ref="B315:B319"/>
    <mergeCell ref="J315:J319"/>
  </mergeCells>
  <phoneticPr fontId="1" type="noConversion"/>
  <conditionalFormatting sqref="D144">
    <cfRule type="expression" dxfId="1" priority="2">
      <formula>$D$195=1</formula>
    </cfRule>
  </conditionalFormatting>
  <conditionalFormatting sqref="D177">
    <cfRule type="expression" dxfId="0" priority="1">
      <formula>$D$195=1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D956-D78D-483B-8CC2-BEA4C0C06919}">
  <dimension ref="B2:W39"/>
  <sheetViews>
    <sheetView showGridLines="0" topLeftCell="A11" zoomScale="115" workbookViewId="0">
      <selection activeCell="F28" sqref="F28"/>
    </sheetView>
  </sheetViews>
  <sheetFormatPr defaultRowHeight="14" outlineLevelRow="1"/>
  <cols>
    <col min="2" max="2" width="23.25" customWidth="1"/>
    <col min="5" max="5" width="9.9140625" customWidth="1"/>
    <col min="9" max="9" width="10.58203125" customWidth="1"/>
    <col min="10" max="10" width="9.58203125" customWidth="1"/>
    <col min="11" max="11" width="9.33203125" customWidth="1"/>
  </cols>
  <sheetData>
    <row r="2" spans="2:23" ht="22">
      <c r="B2" s="231" t="s">
        <v>328</v>
      </c>
      <c r="C2" s="231"/>
      <c r="D2" s="231"/>
      <c r="E2" s="231"/>
      <c r="F2" s="231"/>
      <c r="G2" s="231"/>
      <c r="H2" s="231"/>
      <c r="I2" s="231"/>
      <c r="J2" s="231"/>
      <c r="K2" s="231"/>
    </row>
    <row r="3" spans="2:23" ht="14.5" outlineLevel="1">
      <c r="B3" s="517"/>
      <c r="C3" s="517"/>
      <c r="D3" s="517"/>
      <c r="E3" s="517"/>
      <c r="F3" s="517"/>
      <c r="G3" s="517"/>
      <c r="H3" s="517"/>
      <c r="I3" s="517"/>
      <c r="J3" s="517"/>
      <c r="K3" s="517"/>
    </row>
    <row r="4" spans="2:23" ht="15" outlineLevel="1">
      <c r="B4" s="106" t="s">
        <v>325</v>
      </c>
      <c r="C4" s="106"/>
      <c r="D4" s="106"/>
      <c r="E4" s="518"/>
      <c r="F4" s="518"/>
      <c r="G4" s="518"/>
      <c r="H4" s="518"/>
      <c r="I4" s="518"/>
      <c r="J4" s="518"/>
      <c r="K4" s="518"/>
    </row>
    <row r="5" spans="2:23" ht="15" outlineLevel="1">
      <c r="B5" s="519"/>
      <c r="C5" s="519"/>
      <c r="D5" s="519"/>
      <c r="F5" s="520"/>
      <c r="G5" s="521"/>
      <c r="H5" s="520"/>
      <c r="I5" s="522"/>
      <c r="J5" s="518"/>
      <c r="K5" s="518"/>
    </row>
    <row r="6" spans="2:23" ht="15" outlineLevel="1">
      <c r="B6" s="523" t="s">
        <v>284</v>
      </c>
      <c r="C6" s="524"/>
      <c r="D6" s="581" t="s">
        <v>308</v>
      </c>
      <c r="E6" s="574" t="s">
        <v>286</v>
      </c>
      <c r="F6" s="535"/>
      <c r="G6" s="576" t="s">
        <v>309</v>
      </c>
      <c r="H6" s="525"/>
      <c r="I6" s="579"/>
      <c r="J6" s="535"/>
      <c r="K6" s="580"/>
    </row>
    <row r="7" spans="2:23" ht="14.5" outlineLevel="1">
      <c r="B7" s="527" t="s">
        <v>310</v>
      </c>
      <c r="C7" s="528" t="s">
        <v>311</v>
      </c>
      <c r="D7" s="581" t="s">
        <v>312</v>
      </c>
      <c r="E7" s="582" t="s">
        <v>287</v>
      </c>
      <c r="F7" s="587" t="s">
        <v>4</v>
      </c>
      <c r="G7" s="588" t="s">
        <v>4</v>
      </c>
      <c r="H7" s="697" t="s">
        <v>313</v>
      </c>
      <c r="I7" s="698"/>
      <c r="J7" s="587" t="s">
        <v>314</v>
      </c>
      <c r="K7" s="588" t="s">
        <v>315</v>
      </c>
    </row>
    <row r="8" spans="2:23" ht="18" outlineLevel="1">
      <c r="B8" s="550" t="s">
        <v>284</v>
      </c>
      <c r="C8" s="589" t="s">
        <v>284</v>
      </c>
      <c r="D8" s="590" t="s">
        <v>284</v>
      </c>
      <c r="E8" s="591" t="s">
        <v>284</v>
      </c>
      <c r="F8" s="592" t="s">
        <v>284</v>
      </c>
      <c r="G8" s="593" t="s">
        <v>284</v>
      </c>
      <c r="H8" s="589" t="s">
        <v>284</v>
      </c>
      <c r="I8" s="594" t="s">
        <v>284</v>
      </c>
      <c r="J8" s="592" t="s">
        <v>284</v>
      </c>
      <c r="K8" s="593" t="s">
        <v>284</v>
      </c>
    </row>
    <row r="9" spans="2:23" ht="14.5" outlineLevel="1">
      <c r="B9" s="530"/>
      <c r="C9" s="595"/>
      <c r="D9" s="575" t="s">
        <v>316</v>
      </c>
      <c r="E9" s="583"/>
      <c r="F9" s="532" t="s">
        <v>317</v>
      </c>
      <c r="G9" s="577" t="s">
        <v>317</v>
      </c>
      <c r="H9" s="532" t="s">
        <v>318</v>
      </c>
      <c r="I9" s="577" t="s">
        <v>319</v>
      </c>
      <c r="J9" s="532" t="s">
        <v>317</v>
      </c>
      <c r="K9" s="577" t="s">
        <v>317</v>
      </c>
    </row>
    <row r="10" spans="2:23" ht="14.5" outlineLevel="1">
      <c r="B10" s="189" t="s">
        <v>253</v>
      </c>
      <c r="C10" s="584" t="s">
        <v>252</v>
      </c>
      <c r="D10" s="600">
        <v>14.63</v>
      </c>
      <c r="E10" s="598">
        <v>160.59</v>
      </c>
      <c r="F10" s="596">
        <v>15.91</v>
      </c>
      <c r="G10" s="578">
        <f>E10/F10</f>
        <v>10.093651791326209</v>
      </c>
      <c r="H10" s="585">
        <v>7.0000000000000007E-2</v>
      </c>
      <c r="I10" s="586">
        <v>0.05</v>
      </c>
      <c r="J10" s="597">
        <v>0.62</v>
      </c>
      <c r="K10" s="617">
        <f>D10/J10</f>
        <v>23.596774193548388</v>
      </c>
      <c r="O10" s="6"/>
      <c r="P10" s="7"/>
      <c r="Q10" s="7"/>
    </row>
    <row r="11" spans="2:23" ht="14.5" outlineLevel="1">
      <c r="B11" s="189" t="s">
        <v>256</v>
      </c>
      <c r="C11" s="584" t="s">
        <v>257</v>
      </c>
      <c r="D11" s="601">
        <v>23.7</v>
      </c>
      <c r="E11" s="599">
        <v>488.82</v>
      </c>
      <c r="F11" s="596">
        <v>46.44</v>
      </c>
      <c r="G11" s="578">
        <f t="shared" ref="G11" si="0">E11/F11</f>
        <v>10.525839793281655</v>
      </c>
      <c r="H11" s="585">
        <v>0.06</v>
      </c>
      <c r="I11" s="586">
        <v>0.06</v>
      </c>
      <c r="J11" s="597">
        <v>1.31</v>
      </c>
      <c r="K11" s="617">
        <f t="shared" ref="K11:K16" si="1">D11/J11</f>
        <v>18.091603053435112</v>
      </c>
      <c r="M11" s="189"/>
      <c r="N11" s="189"/>
      <c r="O11" s="6"/>
      <c r="P11" s="7"/>
      <c r="Q11" s="7"/>
      <c r="R11" s="267"/>
      <c r="S11" s="259"/>
      <c r="T11" s="259"/>
      <c r="U11" s="259"/>
      <c r="V11" s="259"/>
      <c r="W11" s="259"/>
    </row>
    <row r="12" spans="2:23" ht="14.5" outlineLevel="1">
      <c r="B12" s="189" t="s">
        <v>260</v>
      </c>
      <c r="C12" s="584" t="s">
        <v>261</v>
      </c>
      <c r="D12" s="601">
        <v>20.57</v>
      </c>
      <c r="E12" s="599">
        <v>537.42999999999995</v>
      </c>
      <c r="F12" s="596">
        <v>59.81</v>
      </c>
      <c r="G12" s="578">
        <f>E12/F12</f>
        <v>8.9856211335896994</v>
      </c>
      <c r="H12" s="585">
        <v>0.03</v>
      </c>
      <c r="I12" s="586">
        <v>0.04</v>
      </c>
      <c r="J12" s="597">
        <v>1.58</v>
      </c>
      <c r="K12" s="617">
        <f t="shared" si="1"/>
        <v>13.018987341772151</v>
      </c>
    </row>
    <row r="13" spans="2:23" ht="14.5" outlineLevel="1">
      <c r="B13" s="189" t="s">
        <v>262</v>
      </c>
      <c r="C13" s="584" t="s">
        <v>263</v>
      </c>
      <c r="D13" s="602">
        <v>16.36</v>
      </c>
      <c r="E13" s="599">
        <v>2790</v>
      </c>
      <c r="F13" s="596">
        <v>362.3</v>
      </c>
      <c r="G13" s="578">
        <f>E13/F13</f>
        <v>7.7008004416229641</v>
      </c>
      <c r="H13" s="585">
        <v>0.05</v>
      </c>
      <c r="I13" s="586">
        <v>6.2E-2</v>
      </c>
      <c r="J13" s="597">
        <v>0.15</v>
      </c>
      <c r="K13" s="617">
        <f t="shared" si="1"/>
        <v>109.06666666666666</v>
      </c>
      <c r="M13" s="189"/>
      <c r="N13" s="189"/>
      <c r="O13" s="6"/>
      <c r="P13" s="4"/>
      <c r="Q13" s="4"/>
      <c r="R13" s="267"/>
      <c r="S13" s="259"/>
      <c r="T13" s="259"/>
      <c r="U13" s="259"/>
      <c r="V13" s="259"/>
      <c r="W13" s="259"/>
    </row>
    <row r="14" spans="2:23" ht="14.5" outlineLevel="1">
      <c r="B14" s="189" t="s">
        <v>264</v>
      </c>
      <c r="C14" s="584" t="s">
        <v>265</v>
      </c>
      <c r="D14" s="602">
        <v>203.18</v>
      </c>
      <c r="E14" s="599">
        <v>24770</v>
      </c>
      <c r="F14" s="596">
        <v>1650</v>
      </c>
      <c r="G14" s="578">
        <f>E14/F14</f>
        <v>15.012121212121212</v>
      </c>
      <c r="H14" s="585">
        <v>0.05</v>
      </c>
      <c r="I14" s="586">
        <v>0.02</v>
      </c>
      <c r="J14" s="597">
        <v>9.06</v>
      </c>
      <c r="K14" s="617">
        <f t="shared" si="1"/>
        <v>22.426048565121413</v>
      </c>
      <c r="M14" s="189"/>
      <c r="N14" s="189"/>
      <c r="O14" s="6"/>
      <c r="P14" s="7"/>
      <c r="Q14" s="7"/>
      <c r="R14" s="267"/>
      <c r="S14" s="259"/>
      <c r="T14" s="259"/>
      <c r="U14" s="259"/>
      <c r="V14" s="259"/>
      <c r="W14" s="259"/>
    </row>
    <row r="15" spans="2:23" ht="14.5" outlineLevel="1">
      <c r="B15" s="189" t="s">
        <v>266</v>
      </c>
      <c r="C15" s="584" t="s">
        <v>267</v>
      </c>
      <c r="D15" s="602">
        <v>6.65</v>
      </c>
      <c r="E15" s="599">
        <v>1360</v>
      </c>
      <c r="F15" s="596">
        <v>178.08</v>
      </c>
      <c r="G15" s="578">
        <f>E15/F15</f>
        <v>7.6370170709793346</v>
      </c>
      <c r="H15" s="585">
        <v>0.1</v>
      </c>
      <c r="I15" s="586">
        <v>0.08</v>
      </c>
      <c r="J15" s="597">
        <v>0.46</v>
      </c>
      <c r="K15" s="617">
        <f t="shared" si="1"/>
        <v>14.456521739130435</v>
      </c>
      <c r="M15" s="189"/>
      <c r="N15" s="189"/>
      <c r="O15" s="6"/>
      <c r="P15" s="4"/>
      <c r="Q15" s="4"/>
      <c r="R15" s="267"/>
      <c r="S15" s="259"/>
      <c r="T15" s="259"/>
      <c r="U15" s="259"/>
      <c r="V15" s="259"/>
      <c r="W15" s="259"/>
    </row>
    <row r="16" spans="2:23" ht="14.5" outlineLevel="1">
      <c r="B16" s="189" t="s">
        <v>326</v>
      </c>
      <c r="C16" s="584" t="s">
        <v>259</v>
      </c>
      <c r="D16" s="602">
        <v>37.57</v>
      </c>
      <c r="E16" s="599">
        <v>1810</v>
      </c>
      <c r="F16" s="596">
        <v>263.08</v>
      </c>
      <c r="G16" s="578">
        <f>E16/F16</f>
        <v>6.8800364908012774</v>
      </c>
      <c r="H16" s="585">
        <v>0.09</v>
      </c>
      <c r="I16" s="586">
        <v>9.8000000000000004E-2</v>
      </c>
      <c r="J16" s="597">
        <v>2.0299999999999998</v>
      </c>
      <c r="K16" s="617">
        <f t="shared" si="1"/>
        <v>18.507389162561577</v>
      </c>
      <c r="M16" s="189"/>
      <c r="N16" s="189"/>
      <c r="O16" s="6"/>
      <c r="P16" s="7"/>
      <c r="Q16" s="7"/>
      <c r="R16" s="267"/>
      <c r="S16" s="259"/>
      <c r="T16" s="259"/>
      <c r="U16" s="259"/>
      <c r="V16" s="259"/>
      <c r="W16" s="259"/>
    </row>
    <row r="17" spans="2:23" ht="14.5">
      <c r="M17" s="189"/>
      <c r="N17" s="189"/>
      <c r="O17" s="6"/>
      <c r="P17" s="7"/>
      <c r="Q17" s="7"/>
      <c r="R17" s="267"/>
      <c r="S17" s="259"/>
      <c r="T17" s="259"/>
      <c r="U17" s="259"/>
      <c r="V17" s="259"/>
      <c r="W17" s="259"/>
    </row>
    <row r="18" spans="2:23" ht="22">
      <c r="B18" s="231" t="s">
        <v>329</v>
      </c>
      <c r="C18" s="231"/>
      <c r="D18" s="231"/>
      <c r="E18" s="231"/>
      <c r="F18" s="231"/>
      <c r="G18" s="231"/>
      <c r="H18" s="231"/>
      <c r="I18" s="231"/>
      <c r="J18" s="231"/>
      <c r="K18" s="231"/>
      <c r="M18" s="189"/>
      <c r="N18" s="189"/>
      <c r="O18" s="189"/>
      <c r="P18" s="6"/>
      <c r="Q18" s="267"/>
      <c r="R18" s="267"/>
      <c r="S18" s="259"/>
      <c r="T18" s="259"/>
      <c r="U18" s="259"/>
      <c r="V18" s="259"/>
      <c r="W18" s="259"/>
    </row>
    <row r="19" spans="2:23" ht="14.5" outlineLevel="1">
      <c r="B19" s="517"/>
      <c r="C19" s="517"/>
      <c r="D19" s="517"/>
      <c r="E19" s="517"/>
      <c r="F19" s="517"/>
      <c r="G19" s="517"/>
      <c r="H19" s="517"/>
      <c r="I19" s="517"/>
      <c r="J19" s="517"/>
      <c r="K19" s="517"/>
      <c r="M19" s="189"/>
      <c r="N19" s="189"/>
      <c r="O19" s="189"/>
      <c r="P19" s="6"/>
      <c r="Q19" s="267"/>
      <c r="R19" s="267"/>
      <c r="S19" s="259"/>
      <c r="T19" s="259"/>
      <c r="U19" s="259"/>
      <c r="V19" s="259"/>
      <c r="W19" s="259"/>
    </row>
    <row r="20" spans="2:23" ht="15" outlineLevel="1">
      <c r="B20" s="106" t="s">
        <v>325</v>
      </c>
      <c r="C20" s="106"/>
      <c r="D20" s="106"/>
      <c r="E20" s="518"/>
      <c r="F20" s="518"/>
      <c r="G20" s="518"/>
      <c r="H20" s="518"/>
      <c r="I20" s="518"/>
      <c r="J20" s="518"/>
      <c r="K20" s="518"/>
      <c r="M20" s="189"/>
      <c r="N20" s="189"/>
      <c r="O20" s="189"/>
      <c r="P20" s="6"/>
      <c r="Q20" s="267"/>
      <c r="R20" s="267"/>
      <c r="S20" s="259"/>
      <c r="T20" s="259"/>
      <c r="U20" s="259"/>
      <c r="V20" s="259"/>
      <c r="W20" s="259"/>
    </row>
    <row r="21" spans="2:23" ht="15" outlineLevel="1">
      <c r="B21" s="519"/>
      <c r="C21" s="519"/>
      <c r="D21" s="519"/>
      <c r="F21" s="520"/>
      <c r="G21" s="521"/>
      <c r="H21" s="520"/>
      <c r="I21" s="522"/>
      <c r="J21" s="518"/>
      <c r="K21" s="518"/>
      <c r="S21" s="259"/>
      <c r="T21" s="259"/>
      <c r="U21" s="259"/>
      <c r="V21" s="259"/>
      <c r="W21" s="259"/>
    </row>
    <row r="22" spans="2:23" ht="15" outlineLevel="1">
      <c r="B22" s="533"/>
      <c r="C22" s="533"/>
      <c r="D22" s="533"/>
      <c r="E22" s="565" t="s">
        <v>286</v>
      </c>
      <c r="F22" s="561"/>
      <c r="G22" s="555" t="s">
        <v>309</v>
      </c>
      <c r="H22" s="525"/>
      <c r="I22" s="569"/>
      <c r="J22" s="569" t="s">
        <v>32</v>
      </c>
      <c r="K22" s="526"/>
      <c r="S22" s="259"/>
      <c r="T22" s="259"/>
      <c r="U22" s="259"/>
      <c r="V22" s="259"/>
      <c r="W22" s="259"/>
    </row>
    <row r="23" spans="2:23" ht="16" outlineLevel="1">
      <c r="B23" s="536" t="s">
        <v>320</v>
      </c>
      <c r="C23" s="536"/>
      <c r="D23" s="536"/>
      <c r="E23" s="566" t="s">
        <v>287</v>
      </c>
      <c r="F23" s="556" t="s">
        <v>4</v>
      </c>
      <c r="G23" s="556" t="s">
        <v>4</v>
      </c>
      <c r="H23" s="525" t="s">
        <v>313</v>
      </c>
      <c r="I23" s="569"/>
      <c r="J23" s="569" t="s">
        <v>367</v>
      </c>
      <c r="K23" s="535"/>
      <c r="S23" s="259"/>
      <c r="T23" s="259"/>
      <c r="U23" s="259"/>
      <c r="V23" s="259"/>
      <c r="W23" s="259"/>
    </row>
    <row r="24" spans="2:23" ht="7" customHeight="1" outlineLevel="1">
      <c r="B24" s="548" t="s">
        <v>284</v>
      </c>
      <c r="C24" s="537"/>
      <c r="D24" s="537"/>
      <c r="E24" s="567" t="s">
        <v>284</v>
      </c>
      <c r="F24" s="557" t="s">
        <v>284</v>
      </c>
      <c r="G24" s="557" t="s">
        <v>284</v>
      </c>
      <c r="H24" s="551" t="s">
        <v>284</v>
      </c>
      <c r="I24" s="570"/>
      <c r="J24" s="570"/>
      <c r="K24" s="535"/>
      <c r="S24" s="259"/>
      <c r="T24" s="259"/>
      <c r="U24" s="259"/>
      <c r="V24" s="259"/>
      <c r="W24" s="259"/>
    </row>
    <row r="25" spans="2:23" ht="14.5" outlineLevel="1">
      <c r="B25" s="536"/>
      <c r="C25" s="536"/>
      <c r="D25" s="536"/>
      <c r="E25" s="564"/>
      <c r="F25" s="558" t="s">
        <v>317</v>
      </c>
      <c r="G25" s="558" t="s">
        <v>317</v>
      </c>
      <c r="H25" s="532" t="s">
        <v>318</v>
      </c>
      <c r="I25" s="553" t="s">
        <v>319</v>
      </c>
      <c r="J25" s="553"/>
      <c r="K25" s="531"/>
      <c r="S25" s="259"/>
      <c r="T25" s="259"/>
      <c r="U25" s="259"/>
      <c r="V25" s="259"/>
      <c r="W25" s="259"/>
    </row>
    <row r="26" spans="2:23" ht="15" outlineLevel="1">
      <c r="B26" s="538" t="s">
        <v>209</v>
      </c>
      <c r="C26" s="538"/>
      <c r="D26" s="538"/>
      <c r="E26" s="568">
        <f>G26*F26</f>
        <v>5365.0866025116075</v>
      </c>
      <c r="F26" s="562">
        <v>538</v>
      </c>
      <c r="G26" s="559">
        <f>AVERAGE($G$11:$G$15)</f>
        <v>9.9722799303189724</v>
      </c>
      <c r="H26" s="547">
        <v>7.0000000000000007E-2</v>
      </c>
      <c r="I26" s="571">
        <v>7.0000000000000007E-2</v>
      </c>
      <c r="J26" s="628">
        <f>(E26-'DCF Inputs'!$M$41)/'DCF Inputs'!$G$50</f>
        <v>79.727033472867078</v>
      </c>
      <c r="K26" s="539"/>
      <c r="S26" s="259"/>
      <c r="T26" s="259"/>
      <c r="U26" s="259"/>
      <c r="V26" s="259"/>
      <c r="W26" s="259"/>
    </row>
    <row r="27" spans="2:23" ht="15" outlineLevel="1">
      <c r="B27" s="538" t="s">
        <v>221</v>
      </c>
      <c r="C27" s="538"/>
      <c r="D27" s="538"/>
      <c r="E27" s="568">
        <f>G27*F27</f>
        <v>4834.2641698712587</v>
      </c>
      <c r="F27" s="563">
        <f>F26</f>
        <v>538</v>
      </c>
      <c r="G27" s="559">
        <f>MEDIAN($G$11:$G$15)</f>
        <v>8.9856211335896994</v>
      </c>
      <c r="H27" s="554">
        <f>H26</f>
        <v>7.0000000000000007E-2</v>
      </c>
      <c r="I27" s="572">
        <f t="shared" ref="I27:I29" si="2">I26</f>
        <v>7.0000000000000007E-2</v>
      </c>
      <c r="J27" s="628">
        <f>(E27-'DCF Inputs'!$M$41)/'DCF Inputs'!$G$50</f>
        <v>50.236898326181034</v>
      </c>
      <c r="K27" s="539"/>
      <c r="S27" s="259"/>
      <c r="T27" s="259"/>
      <c r="U27" s="259"/>
      <c r="V27" s="259"/>
      <c r="W27" s="259"/>
    </row>
    <row r="28" spans="2:23" ht="15" outlineLevel="1">
      <c r="B28" s="538" t="s">
        <v>321</v>
      </c>
      <c r="C28" s="538"/>
      <c r="D28" s="538"/>
      <c r="E28" s="568">
        <f t="shared" ref="E28" si="3">G28*F28</f>
        <v>8076.5212121212116</v>
      </c>
      <c r="F28" s="563">
        <f t="shared" ref="F28:F29" si="4">F27</f>
        <v>538</v>
      </c>
      <c r="G28" s="560">
        <f>MAX($G$11:$G$15)</f>
        <v>15.012121212121212</v>
      </c>
      <c r="H28" s="554">
        <f t="shared" ref="H28:H29" si="5">H27</f>
        <v>7.0000000000000007E-2</v>
      </c>
      <c r="I28" s="572">
        <f t="shared" si="2"/>
        <v>7.0000000000000007E-2</v>
      </c>
      <c r="J28" s="628">
        <f>(E28-'DCF Inputs'!$M$41)/'DCF Inputs'!$G$50</f>
        <v>230.36228956228953</v>
      </c>
      <c r="K28" s="540"/>
      <c r="S28" s="259"/>
      <c r="T28" s="259"/>
      <c r="U28" s="259"/>
      <c r="V28" s="259"/>
      <c r="W28" s="259"/>
    </row>
    <row r="29" spans="2:23" ht="15" outlineLevel="1">
      <c r="B29" s="538" t="s">
        <v>322</v>
      </c>
      <c r="C29" s="538"/>
      <c r="D29" s="538"/>
      <c r="E29" s="568">
        <f>G29*F29</f>
        <v>4108.7151841868817</v>
      </c>
      <c r="F29" s="563">
        <f t="shared" si="4"/>
        <v>538</v>
      </c>
      <c r="G29" s="560">
        <f>MIN($G$11:$G$15)</f>
        <v>7.6370170709793346</v>
      </c>
      <c r="H29" s="554">
        <f t="shared" si="5"/>
        <v>7.0000000000000007E-2</v>
      </c>
      <c r="I29" s="572">
        <f t="shared" si="2"/>
        <v>7.0000000000000007E-2</v>
      </c>
      <c r="J29" s="628">
        <f>(E29-'DCF Inputs'!$M$41)/'DCF Inputs'!$G$50</f>
        <v>9.928621343715653</v>
      </c>
      <c r="K29" s="540"/>
      <c r="S29" s="259"/>
      <c r="T29" s="259"/>
      <c r="U29" s="259"/>
      <c r="V29" s="259"/>
      <c r="W29" s="259"/>
    </row>
    <row r="30" spans="2:23" ht="15" outlineLevel="1">
      <c r="B30" s="538"/>
      <c r="C30" s="538"/>
      <c r="D30" s="538"/>
      <c r="E30" s="552"/>
      <c r="F30" s="335"/>
      <c r="G30" s="335"/>
      <c r="H30" s="573"/>
      <c r="I30" s="335"/>
      <c r="J30" s="540"/>
      <c r="K30" s="522"/>
      <c r="S30" s="259"/>
      <c r="T30" s="259"/>
      <c r="U30" s="259"/>
      <c r="V30" s="259"/>
      <c r="W30" s="259"/>
    </row>
    <row r="31" spans="2:23" ht="15" outlineLevel="1">
      <c r="B31" s="541" t="str">
        <f>IF(SUM(E31:G31)=2,"COMPLETE","")</f>
        <v/>
      </c>
      <c r="C31" s="542"/>
      <c r="D31" s="542"/>
      <c r="E31" s="334"/>
      <c r="F31" s="179"/>
      <c r="G31" s="179"/>
      <c r="H31" s="543"/>
      <c r="I31" s="543"/>
      <c r="J31" s="540"/>
      <c r="K31" s="522"/>
      <c r="S31" s="259"/>
      <c r="T31" s="259"/>
      <c r="U31" s="259"/>
      <c r="V31" s="259"/>
      <c r="W31" s="259"/>
    </row>
    <row r="32" spans="2:23" ht="15" outlineLevel="1">
      <c r="B32" s="518"/>
      <c r="C32" s="518"/>
      <c r="D32" s="518"/>
      <c r="E32" s="518"/>
      <c r="F32" s="518"/>
      <c r="G32" s="518"/>
      <c r="H32" s="518"/>
      <c r="I32" s="518"/>
      <c r="J32" s="518"/>
      <c r="K32" s="518"/>
      <c r="S32" s="259"/>
      <c r="T32" s="259"/>
      <c r="U32" s="259"/>
      <c r="V32" s="259"/>
      <c r="W32" s="259"/>
    </row>
    <row r="33" spans="2:11" ht="15" outlineLevel="1">
      <c r="B33" s="518"/>
      <c r="C33" s="518"/>
      <c r="D33" s="518"/>
      <c r="E33" s="518"/>
      <c r="F33" s="518"/>
      <c r="G33" s="518"/>
      <c r="H33" s="518"/>
      <c r="I33" s="544" t="s">
        <v>323</v>
      </c>
      <c r="J33" s="518"/>
      <c r="K33" s="518"/>
    </row>
    <row r="34" spans="2:11" ht="15" outlineLevel="1">
      <c r="B34" s="518"/>
      <c r="C34" s="518"/>
      <c r="D34" s="518"/>
      <c r="E34" s="518"/>
      <c r="F34" s="518"/>
      <c r="G34" s="518"/>
      <c r="H34" s="518"/>
      <c r="I34" s="545" t="s">
        <v>327</v>
      </c>
      <c r="J34" s="518"/>
      <c r="K34" s="518"/>
    </row>
    <row r="35" spans="2:11" ht="15" outlineLevel="1">
      <c r="B35" s="546"/>
      <c r="C35" s="546"/>
      <c r="D35" s="546"/>
      <c r="E35" s="546"/>
      <c r="F35" s="546"/>
      <c r="G35" s="546"/>
      <c r="H35" s="546"/>
      <c r="I35" s="546"/>
      <c r="J35" s="546"/>
      <c r="K35" s="546"/>
    </row>
    <row r="36" spans="2:11">
      <c r="E36" s="262"/>
    </row>
    <row r="37" spans="2:11">
      <c r="E37" s="262"/>
    </row>
    <row r="38" spans="2:11">
      <c r="E38" s="262"/>
    </row>
    <row r="39" spans="2:11">
      <c r="E39" s="262"/>
    </row>
  </sheetData>
  <mergeCells count="1">
    <mergeCell ref="H7:I7"/>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B6256-6159-40BD-9841-94DE93236757}">
  <dimension ref="B2:Z34"/>
  <sheetViews>
    <sheetView showGridLines="0" zoomScale="103" zoomScaleNormal="125" workbookViewId="0"/>
  </sheetViews>
  <sheetFormatPr defaultRowHeight="14"/>
  <cols>
    <col min="2" max="2" width="22.58203125" customWidth="1"/>
    <col min="3" max="3" width="32.25" customWidth="1"/>
    <col min="4" max="4" width="25.1640625" customWidth="1"/>
    <col min="5" max="5" width="18.5" customWidth="1"/>
    <col min="6" max="6" width="10.58203125" customWidth="1"/>
    <col min="7" max="7" width="10.08203125" customWidth="1"/>
    <col min="8" max="8" width="12.4140625" customWidth="1"/>
    <col min="9" max="9" width="11.33203125" customWidth="1"/>
    <col min="10" max="14" width="8.75" bestFit="1" customWidth="1"/>
    <col min="17" max="17" width="10.58203125" bestFit="1" customWidth="1"/>
    <col min="20" max="20" width="8.75" bestFit="1" customWidth="1"/>
    <col min="23" max="24" width="8.75" bestFit="1" customWidth="1"/>
  </cols>
  <sheetData>
    <row r="2" spans="2:26" ht="22">
      <c r="B2" s="231" t="s">
        <v>355</v>
      </c>
      <c r="C2" s="231"/>
      <c r="D2" s="231"/>
      <c r="E2" s="231"/>
      <c r="F2" s="231"/>
      <c r="G2" s="231"/>
      <c r="H2" s="231"/>
      <c r="I2" s="231"/>
      <c r="J2" s="231"/>
      <c r="K2" s="231"/>
      <c r="L2" s="231"/>
      <c r="M2" s="231"/>
      <c r="N2" s="231"/>
    </row>
    <row r="3" spans="2:26" ht="16.5">
      <c r="B3" s="605"/>
      <c r="C3" s="606"/>
      <c r="D3" s="606"/>
      <c r="E3" s="606"/>
      <c r="F3" s="606"/>
      <c r="G3" s="606"/>
      <c r="H3" s="606"/>
      <c r="I3" s="606"/>
      <c r="J3" s="606"/>
      <c r="K3" s="606"/>
      <c r="L3" s="606"/>
      <c r="M3" s="606"/>
      <c r="N3" s="606"/>
    </row>
    <row r="4" spans="2:26" ht="16.5">
      <c r="B4" s="607" t="s">
        <v>325</v>
      </c>
      <c r="C4" s="606"/>
      <c r="D4" s="606"/>
      <c r="E4" s="606"/>
      <c r="F4" s="606"/>
      <c r="G4" s="606"/>
      <c r="H4" s="606"/>
      <c r="I4" s="606"/>
      <c r="J4" s="606"/>
      <c r="K4" s="606"/>
      <c r="L4" s="606"/>
      <c r="M4" s="606"/>
      <c r="N4" s="605"/>
    </row>
    <row r="5" spans="2:26" ht="16.5">
      <c r="B5" s="153"/>
      <c r="C5" s="606"/>
      <c r="D5" s="606"/>
      <c r="E5" s="669"/>
      <c r="F5" s="606"/>
      <c r="G5" s="606"/>
      <c r="H5" s="606"/>
      <c r="I5" s="606"/>
      <c r="J5" s="606"/>
      <c r="K5" s="606"/>
      <c r="L5" s="605"/>
      <c r="M5" s="605"/>
      <c r="N5" s="605"/>
    </row>
    <row r="6" spans="2:26" ht="15">
      <c r="B6" s="608"/>
      <c r="C6" s="608"/>
      <c r="D6" s="608"/>
      <c r="E6" s="658" t="s">
        <v>331</v>
      </c>
      <c r="F6" s="535" t="s">
        <v>332</v>
      </c>
      <c r="G6" s="658" t="s">
        <v>331</v>
      </c>
      <c r="H6" s="658" t="s">
        <v>333</v>
      </c>
      <c r="I6" s="535"/>
      <c r="J6" s="663" t="s">
        <v>309</v>
      </c>
      <c r="K6" s="525"/>
      <c r="L6" s="569"/>
      <c r="M6" s="535"/>
      <c r="N6" s="526"/>
    </row>
    <row r="7" spans="2:26" ht="15">
      <c r="B7" s="609" t="s">
        <v>380</v>
      </c>
      <c r="C7" s="609" t="s">
        <v>381</v>
      </c>
      <c r="D7" s="609" t="s">
        <v>382</v>
      </c>
      <c r="E7" s="659" t="s">
        <v>312</v>
      </c>
      <c r="F7" s="610" t="s">
        <v>334</v>
      </c>
      <c r="G7" s="659" t="s">
        <v>335</v>
      </c>
      <c r="H7" s="659" t="s">
        <v>287</v>
      </c>
      <c r="I7" s="529" t="s">
        <v>4</v>
      </c>
      <c r="J7" s="664" t="s">
        <v>4</v>
      </c>
      <c r="K7" s="525" t="s">
        <v>313</v>
      </c>
      <c r="L7" s="569"/>
      <c r="M7" s="529" t="s">
        <v>314</v>
      </c>
      <c r="N7" s="529" t="s">
        <v>315</v>
      </c>
    </row>
    <row r="8" spans="2:26" ht="18">
      <c r="B8" s="550" t="s">
        <v>284</v>
      </c>
      <c r="C8" s="550" t="s">
        <v>284</v>
      </c>
      <c r="D8" s="550" t="s">
        <v>284</v>
      </c>
      <c r="E8" s="660" t="s">
        <v>284</v>
      </c>
      <c r="F8" s="616" t="s">
        <v>284</v>
      </c>
      <c r="G8" s="660" t="s">
        <v>284</v>
      </c>
      <c r="H8" s="660" t="s">
        <v>284</v>
      </c>
      <c r="I8" s="549" t="s">
        <v>284</v>
      </c>
      <c r="J8" s="665" t="s">
        <v>284</v>
      </c>
      <c r="K8" s="551" t="s">
        <v>284</v>
      </c>
      <c r="L8" s="668" t="s">
        <v>284</v>
      </c>
      <c r="M8" s="549" t="s">
        <v>284</v>
      </c>
      <c r="N8" s="549" t="s">
        <v>284</v>
      </c>
    </row>
    <row r="9" spans="2:26" ht="14.5">
      <c r="B9" s="611" t="s">
        <v>336</v>
      </c>
      <c r="C9" s="612"/>
      <c r="D9" s="612"/>
      <c r="E9" s="670" t="s">
        <v>316</v>
      </c>
      <c r="F9" s="612"/>
      <c r="G9" s="661"/>
      <c r="H9" s="661"/>
      <c r="I9" s="532" t="s">
        <v>383</v>
      </c>
      <c r="J9" s="553" t="s">
        <v>317</v>
      </c>
      <c r="K9" s="532" t="s">
        <v>318</v>
      </c>
      <c r="L9" s="553" t="s">
        <v>319</v>
      </c>
      <c r="M9" s="532" t="s">
        <v>317</v>
      </c>
      <c r="N9" s="532" t="s">
        <v>317</v>
      </c>
      <c r="Q9" s="674"/>
      <c r="T9" s="675"/>
    </row>
    <row r="10" spans="2:26" ht="14.5">
      <c r="B10" s="611"/>
      <c r="C10" s="612"/>
      <c r="D10" s="612"/>
      <c r="E10" s="671"/>
      <c r="F10" s="612"/>
      <c r="G10" s="661"/>
      <c r="H10" s="661"/>
      <c r="I10" s="532"/>
      <c r="J10" s="553"/>
      <c r="K10" s="532"/>
      <c r="L10" s="553"/>
      <c r="M10" s="532"/>
      <c r="N10" s="532"/>
      <c r="Q10" s="674"/>
    </row>
    <row r="11" spans="2:26" ht="15">
      <c r="B11" s="613" t="s">
        <v>339</v>
      </c>
      <c r="C11" s="614" t="s">
        <v>337</v>
      </c>
      <c r="D11" s="614" t="s">
        <v>338</v>
      </c>
      <c r="E11" s="672">
        <v>36</v>
      </c>
      <c r="F11" s="615">
        <v>0.17399999999999999</v>
      </c>
      <c r="G11" s="673" t="s">
        <v>352</v>
      </c>
      <c r="H11" s="662">
        <v>2800</v>
      </c>
      <c r="I11" s="657">
        <v>310.72000000000003</v>
      </c>
      <c r="J11" s="666">
        <f>H11/I11</f>
        <v>9.0113285272914521</v>
      </c>
      <c r="K11" s="547">
        <v>0.09</v>
      </c>
      <c r="L11" s="571">
        <v>0.08</v>
      </c>
      <c r="M11" s="667">
        <v>4.5599999999999996</v>
      </c>
      <c r="N11" s="534">
        <f>E11/M11</f>
        <v>7.8947368421052637</v>
      </c>
      <c r="Q11" s="674"/>
      <c r="T11" s="675"/>
      <c r="Z11" s="675"/>
    </row>
    <row r="12" spans="2:26" ht="15">
      <c r="B12" s="613" t="s">
        <v>342</v>
      </c>
      <c r="C12" s="614" t="s">
        <v>340</v>
      </c>
      <c r="D12" s="614" t="s">
        <v>341</v>
      </c>
      <c r="E12" s="672">
        <v>22</v>
      </c>
      <c r="F12" s="615">
        <v>0.46700000000000003</v>
      </c>
      <c r="G12" s="673" t="s">
        <v>352</v>
      </c>
      <c r="H12" s="662">
        <v>5000</v>
      </c>
      <c r="I12" s="657">
        <v>693</v>
      </c>
      <c r="J12" s="666">
        <f t="shared" ref="J12:J13" si="0">H12/I12</f>
        <v>7.2150072150072146</v>
      </c>
      <c r="K12" s="547">
        <v>0.1</v>
      </c>
      <c r="L12" s="571">
        <v>0.09</v>
      </c>
      <c r="M12" s="667">
        <v>1.94</v>
      </c>
      <c r="N12" s="534">
        <f>E12/M12</f>
        <v>11.340206185567011</v>
      </c>
      <c r="Q12" s="674"/>
      <c r="T12" s="675"/>
      <c r="Z12" s="675"/>
    </row>
    <row r="13" spans="2:26" ht="15">
      <c r="B13" s="613" t="s">
        <v>345</v>
      </c>
      <c r="C13" s="614" t="s">
        <v>343</v>
      </c>
      <c r="D13" s="614" t="s">
        <v>344</v>
      </c>
      <c r="E13" s="672">
        <v>64</v>
      </c>
      <c r="F13" s="615">
        <v>1.1519999999999999</v>
      </c>
      <c r="G13" s="673" t="s">
        <v>352</v>
      </c>
      <c r="H13" s="662">
        <v>3800</v>
      </c>
      <c r="I13" s="657">
        <v>222.6</v>
      </c>
      <c r="J13" s="666">
        <f t="shared" si="0"/>
        <v>17.070979335130279</v>
      </c>
      <c r="K13" s="547">
        <v>0.12</v>
      </c>
      <c r="L13" s="571">
        <v>0.11</v>
      </c>
      <c r="M13" s="667">
        <v>4.5199999999999996</v>
      </c>
      <c r="N13" s="534">
        <f t="shared" ref="N13" si="1">E13/M13</f>
        <v>14.159292035398231</v>
      </c>
      <c r="Q13" s="674"/>
    </row>
    <row r="14" spans="2:26" ht="15">
      <c r="B14" s="613" t="s">
        <v>348</v>
      </c>
      <c r="C14" s="614" t="s">
        <v>346</v>
      </c>
      <c r="D14" s="614" t="s">
        <v>347</v>
      </c>
      <c r="E14" s="672">
        <v>12.9</v>
      </c>
      <c r="F14" s="615">
        <v>0.92300000000000004</v>
      </c>
      <c r="G14" s="673" t="s">
        <v>353</v>
      </c>
      <c r="H14" s="662">
        <v>485</v>
      </c>
      <c r="I14" s="657">
        <v>51.83</v>
      </c>
      <c r="J14" s="666">
        <f>H14/I14</f>
        <v>9.3575149527300798</v>
      </c>
      <c r="K14" s="547">
        <v>7.0000000000000007E-2</v>
      </c>
      <c r="L14" s="571">
        <v>7.0000000000000007E-2</v>
      </c>
      <c r="M14" s="667">
        <v>1.2</v>
      </c>
      <c r="N14" s="534">
        <f t="shared" ref="N14:N15" si="2">E14/M14</f>
        <v>10.75</v>
      </c>
    </row>
    <row r="15" spans="2:26" ht="15">
      <c r="B15" s="613" t="s">
        <v>351</v>
      </c>
      <c r="C15" s="614" t="s">
        <v>349</v>
      </c>
      <c r="D15" s="614" t="s">
        <v>350</v>
      </c>
      <c r="E15" s="672">
        <v>24</v>
      </c>
      <c r="F15" s="615">
        <v>1.0389999999999999</v>
      </c>
      <c r="G15" s="673" t="s">
        <v>354</v>
      </c>
      <c r="H15" s="662">
        <v>3200</v>
      </c>
      <c r="I15" s="657">
        <v>428</v>
      </c>
      <c r="J15" s="666">
        <f t="shared" ref="J15" si="3">H15/I15</f>
        <v>7.4766355140186915</v>
      </c>
      <c r="K15" s="547">
        <v>7.0000000000000007E-2</v>
      </c>
      <c r="L15" s="571">
        <v>7.0000000000000007E-2</v>
      </c>
      <c r="M15" s="667">
        <v>1.2</v>
      </c>
      <c r="N15" s="534">
        <f t="shared" si="2"/>
        <v>20</v>
      </c>
    </row>
    <row r="17" spans="2:14" ht="14.5">
      <c r="G17" s="676"/>
    </row>
    <row r="18" spans="2:14" ht="22">
      <c r="B18" s="231" t="s">
        <v>329</v>
      </c>
      <c r="C18" s="231"/>
      <c r="D18" s="231"/>
      <c r="E18" s="231"/>
      <c r="F18" s="231"/>
      <c r="G18" s="231"/>
      <c r="H18" s="231"/>
      <c r="I18" s="231"/>
      <c r="J18" s="231"/>
      <c r="K18" s="231"/>
      <c r="L18" s="231"/>
      <c r="M18" s="231"/>
      <c r="N18" s="231"/>
    </row>
    <row r="19" spans="2:14" ht="14.5">
      <c r="B19" s="517"/>
      <c r="C19" s="517"/>
      <c r="D19" s="517"/>
      <c r="E19" s="517"/>
      <c r="F19" s="517"/>
      <c r="G19" s="517"/>
      <c r="H19" s="517"/>
      <c r="I19" s="517"/>
      <c r="J19" s="517"/>
      <c r="K19" s="517"/>
    </row>
    <row r="20" spans="2:14" ht="15">
      <c r="B20" s="106" t="s">
        <v>325</v>
      </c>
      <c r="C20" s="106"/>
      <c r="D20" s="518"/>
      <c r="F20" s="518"/>
      <c r="G20" s="518"/>
      <c r="H20" s="518"/>
      <c r="I20" s="518"/>
      <c r="J20" s="518"/>
      <c r="K20" s="518"/>
    </row>
    <row r="21" spans="2:14" ht="15">
      <c r="B21" s="519"/>
      <c r="C21" s="519"/>
      <c r="D21" s="519"/>
      <c r="F21" s="520"/>
      <c r="G21" s="521"/>
      <c r="H21" s="520"/>
      <c r="I21" s="522"/>
      <c r="J21" s="518"/>
      <c r="K21" s="518"/>
    </row>
    <row r="22" spans="2:14" ht="15">
      <c r="B22" s="533"/>
      <c r="C22" s="533"/>
      <c r="D22" s="533"/>
      <c r="H22" s="565" t="s">
        <v>286</v>
      </c>
      <c r="I22" s="561"/>
      <c r="J22" s="555" t="s">
        <v>309</v>
      </c>
      <c r="K22" s="525"/>
      <c r="L22" s="569"/>
      <c r="M22" s="569" t="s">
        <v>32</v>
      </c>
    </row>
    <row r="23" spans="2:14" ht="16">
      <c r="B23" s="536" t="s">
        <v>384</v>
      </c>
      <c r="C23" s="536"/>
      <c r="D23" s="536"/>
      <c r="H23" s="566" t="s">
        <v>287</v>
      </c>
      <c r="I23" s="556" t="s">
        <v>4</v>
      </c>
      <c r="J23" s="556" t="s">
        <v>4</v>
      </c>
      <c r="K23" s="525" t="s">
        <v>313</v>
      </c>
      <c r="L23" s="569"/>
      <c r="M23" s="569" t="s">
        <v>367</v>
      </c>
    </row>
    <row r="24" spans="2:14" ht="6" customHeight="1">
      <c r="B24" s="548" t="s">
        <v>284</v>
      </c>
      <c r="C24" s="537"/>
      <c r="D24" s="537"/>
      <c r="H24" s="567" t="s">
        <v>284</v>
      </c>
      <c r="I24" s="557" t="s">
        <v>284</v>
      </c>
      <c r="J24" s="557" t="s">
        <v>284</v>
      </c>
      <c r="K24" s="551" t="s">
        <v>284</v>
      </c>
      <c r="L24" s="570"/>
      <c r="M24" s="570"/>
    </row>
    <row r="25" spans="2:14" ht="14.5">
      <c r="B25" s="536"/>
      <c r="C25" s="536"/>
      <c r="D25" s="536"/>
      <c r="H25" s="564"/>
      <c r="I25" s="558" t="s">
        <v>317</v>
      </c>
      <c r="J25" s="558" t="s">
        <v>317</v>
      </c>
      <c r="K25" s="532" t="s">
        <v>318</v>
      </c>
      <c r="L25" s="553" t="s">
        <v>319</v>
      </c>
      <c r="M25" s="553"/>
    </row>
    <row r="26" spans="2:14" ht="15">
      <c r="B26" s="538" t="s">
        <v>209</v>
      </c>
      <c r="C26" s="538"/>
      <c r="D26" s="538"/>
      <c r="H26" s="568">
        <f>J26*I26</f>
        <v>5394.1456925535222</v>
      </c>
      <c r="I26" s="562">
        <v>538</v>
      </c>
      <c r="J26" s="559">
        <f>AVERAGE($J$11:$J$15)</f>
        <v>10.026293108835542</v>
      </c>
      <c r="K26" s="547">
        <v>7.0000000000000007E-2</v>
      </c>
      <c r="L26" s="571">
        <v>7.0000000000000007E-2</v>
      </c>
      <c r="M26" s="628">
        <f>(H26-'DCF Inputs'!$M$41)/'DCF Inputs'!$G$50</f>
        <v>81.341427364084566</v>
      </c>
    </row>
    <row r="27" spans="2:14" ht="15">
      <c r="B27" s="538" t="s">
        <v>221</v>
      </c>
      <c r="C27" s="538"/>
      <c r="D27" s="538"/>
      <c r="H27" s="568">
        <f>J27*I27</f>
        <v>4848.0947476828014</v>
      </c>
      <c r="I27" s="563">
        <f>I26</f>
        <v>538</v>
      </c>
      <c r="J27" s="559">
        <f>MEDIAN($J$11:$J$15)</f>
        <v>9.0113285272914521</v>
      </c>
      <c r="K27" s="554">
        <f>K26</f>
        <v>7.0000000000000007E-2</v>
      </c>
      <c r="L27" s="572">
        <f t="shared" ref="L27:L29" si="4">L26</f>
        <v>7.0000000000000007E-2</v>
      </c>
      <c r="M27" s="628">
        <f>(H27-'DCF Inputs'!$M$41)/'DCF Inputs'!$G$50</f>
        <v>51.005263760155636</v>
      </c>
    </row>
    <row r="28" spans="2:14" ht="15">
      <c r="B28" s="538" t="s">
        <v>321</v>
      </c>
      <c r="C28" s="538"/>
      <c r="D28" s="538"/>
      <c r="H28" s="568">
        <f t="shared" ref="H28:H29" si="5">J28*I28</f>
        <v>9184.1868823000896</v>
      </c>
      <c r="I28" s="563">
        <f t="shared" ref="I28:I29" si="6">I27</f>
        <v>538</v>
      </c>
      <c r="J28" s="560">
        <f>MAX($J$11:$J$15)</f>
        <v>17.070979335130279</v>
      </c>
      <c r="K28" s="554">
        <f t="shared" ref="K28:K29" si="7">K27</f>
        <v>7.0000000000000007E-2</v>
      </c>
      <c r="L28" s="572">
        <f t="shared" si="4"/>
        <v>7.0000000000000007E-2</v>
      </c>
      <c r="M28" s="628">
        <f>(H28-'DCF Inputs'!$M$41)/'DCF Inputs'!$G$50</f>
        <v>291.89927123889385</v>
      </c>
    </row>
    <row r="29" spans="2:14" ht="15">
      <c r="B29" s="538" t="s">
        <v>322</v>
      </c>
      <c r="C29" s="538"/>
      <c r="D29" s="538"/>
      <c r="H29" s="568">
        <f t="shared" si="5"/>
        <v>3881.6738816738816</v>
      </c>
      <c r="I29" s="563">
        <f t="shared" si="6"/>
        <v>538</v>
      </c>
      <c r="J29" s="560">
        <f>MIN($J$11:$J$15)</f>
        <v>7.2150072150072146</v>
      </c>
      <c r="K29" s="554">
        <f t="shared" si="7"/>
        <v>7.0000000000000007E-2</v>
      </c>
      <c r="L29" s="572">
        <f t="shared" si="4"/>
        <v>7.0000000000000007E-2</v>
      </c>
      <c r="M29" s="628">
        <f>(H29-'DCF Inputs'!$M$41)/'DCF Inputs'!$G$50</f>
        <v>-2.6847843514510208</v>
      </c>
    </row>
    <row r="30" spans="2:14" ht="15">
      <c r="B30" s="538"/>
      <c r="C30" s="538"/>
      <c r="D30" s="538"/>
      <c r="H30" s="552"/>
      <c r="I30" s="335"/>
      <c r="J30" s="335"/>
      <c r="K30" s="573"/>
      <c r="L30" s="335"/>
    </row>
    <row r="31" spans="2:14" ht="15">
      <c r="B31" s="541" t="str">
        <f>IF(SUM(H31:J31)=2,"COMPLETE","")</f>
        <v/>
      </c>
      <c r="C31" s="542"/>
      <c r="D31" s="542"/>
      <c r="H31" s="334"/>
      <c r="I31" s="179"/>
      <c r="J31" s="179"/>
      <c r="K31" s="543"/>
      <c r="L31" s="543"/>
    </row>
    <row r="32" spans="2:14" ht="15">
      <c r="B32" s="518"/>
      <c r="C32" s="518"/>
      <c r="D32" s="518"/>
      <c r="H32" s="518"/>
      <c r="I32" s="518"/>
      <c r="J32" s="518"/>
      <c r="K32" s="518"/>
      <c r="L32" s="518"/>
    </row>
    <row r="33" spans="2:12" ht="15">
      <c r="B33" s="518"/>
      <c r="C33" s="518"/>
      <c r="D33" s="518"/>
      <c r="H33" s="518"/>
      <c r="I33" s="518"/>
      <c r="J33" s="518"/>
      <c r="K33" s="518"/>
      <c r="L33" s="544" t="s">
        <v>323</v>
      </c>
    </row>
    <row r="34" spans="2:12" ht="15">
      <c r="B34" s="518"/>
      <c r="C34" s="518"/>
      <c r="D34" s="518"/>
      <c r="H34" s="518"/>
      <c r="I34" s="518"/>
      <c r="J34" s="518"/>
      <c r="K34" s="518"/>
      <c r="L34" s="545"/>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I70"/>
  <sheetViews>
    <sheetView zoomScale="111" workbookViewId="0">
      <selection activeCell="B6" sqref="B6"/>
    </sheetView>
  </sheetViews>
  <sheetFormatPr defaultRowHeight="14"/>
  <cols>
    <col min="2" max="2" width="26.1640625" customWidth="1"/>
    <col min="3" max="3" width="11" customWidth="1"/>
    <col min="4" max="4" width="10.4140625" customWidth="1"/>
  </cols>
  <sheetData>
    <row r="2" spans="2:9" ht="22">
      <c r="B2" s="231" t="s">
        <v>9</v>
      </c>
      <c r="C2" s="231"/>
      <c r="D2" s="231"/>
      <c r="E2" s="231"/>
      <c r="F2" s="231"/>
      <c r="G2" s="231"/>
      <c r="H2" s="231"/>
    </row>
    <row r="3" spans="2:9" ht="16.5">
      <c r="B3" s="511" t="s">
        <v>56</v>
      </c>
      <c r="C3" s="507">
        <v>2020</v>
      </c>
      <c r="D3" s="507">
        <v>2021</v>
      </c>
      <c r="E3" s="507">
        <v>2022</v>
      </c>
      <c r="F3" s="507">
        <v>2023</v>
      </c>
      <c r="G3" s="507">
        <v>2024</v>
      </c>
      <c r="H3" s="507">
        <v>2025</v>
      </c>
    </row>
    <row r="4" spans="2:9" ht="16.5">
      <c r="B4" s="511" t="s">
        <v>0</v>
      </c>
      <c r="C4" s="514">
        <v>2850</v>
      </c>
      <c r="D4" s="514">
        <v>3760</v>
      </c>
      <c r="E4" s="514">
        <v>3590</v>
      </c>
      <c r="F4" s="514">
        <v>3030</v>
      </c>
      <c r="G4" s="514">
        <v>3180</v>
      </c>
      <c r="H4" s="514">
        <v>3440</v>
      </c>
    </row>
    <row r="5" spans="2:9" ht="16.5">
      <c r="B5" s="512" t="s">
        <v>104</v>
      </c>
      <c r="C5" s="514">
        <v>-1520</v>
      </c>
      <c r="D5" s="514">
        <v>-1900</v>
      </c>
      <c r="E5" s="514">
        <v>-1780</v>
      </c>
      <c r="F5" s="514">
        <v>-1640</v>
      </c>
      <c r="G5" s="514">
        <v>-1770</v>
      </c>
      <c r="H5" s="514">
        <v>-1920</v>
      </c>
    </row>
    <row r="6" spans="2:9" ht="16.5">
      <c r="B6" s="512" t="s">
        <v>105</v>
      </c>
      <c r="C6" s="514">
        <f t="shared" ref="C6:H6" si="0">C5+C16</f>
        <v>-1355.83</v>
      </c>
      <c r="D6" s="514">
        <f t="shared" si="0"/>
        <v>-1731.5</v>
      </c>
      <c r="E6" s="514">
        <f t="shared" si="0"/>
        <v>-1596.23</v>
      </c>
      <c r="F6" s="514">
        <f t="shared" si="0"/>
        <v>-1521.01</v>
      </c>
      <c r="G6" s="514">
        <f t="shared" si="0"/>
        <v>-1639.81</v>
      </c>
      <c r="H6" s="514">
        <f t="shared" si="0"/>
        <v>-1771.5</v>
      </c>
    </row>
    <row r="7" spans="2:9" ht="16.5">
      <c r="B7" s="511" t="s">
        <v>2</v>
      </c>
      <c r="C7" s="514">
        <v>1330</v>
      </c>
      <c r="D7" s="514">
        <v>1860</v>
      </c>
      <c r="E7" s="514">
        <v>1810</v>
      </c>
      <c r="F7" s="514">
        <v>1390</v>
      </c>
      <c r="G7" s="514">
        <v>1410</v>
      </c>
      <c r="H7" s="514">
        <v>1520</v>
      </c>
    </row>
    <row r="8" spans="2:9" ht="16.5">
      <c r="B8" s="512" t="s">
        <v>57</v>
      </c>
      <c r="C8" s="515">
        <v>-840</v>
      </c>
      <c r="D8" s="515">
        <v>-922</v>
      </c>
      <c r="E8" s="514">
        <v>-1070</v>
      </c>
      <c r="F8" s="514">
        <v>-1030</v>
      </c>
      <c r="G8" s="514">
        <v>-1050</v>
      </c>
      <c r="H8" s="514">
        <v>-1130</v>
      </c>
    </row>
    <row r="9" spans="2:9" ht="16.5">
      <c r="B9" s="511" t="s">
        <v>3</v>
      </c>
      <c r="C9" s="515">
        <v>488.41</v>
      </c>
      <c r="D9" s="515">
        <v>933.08</v>
      </c>
      <c r="E9" s="515">
        <v>746.08</v>
      </c>
      <c r="F9" s="515">
        <v>363.18</v>
      </c>
      <c r="G9" s="515">
        <v>367.75</v>
      </c>
      <c r="H9" s="515">
        <v>388.19</v>
      </c>
    </row>
    <row r="10" spans="2:9" ht="16.5">
      <c r="B10" s="511" t="s">
        <v>4</v>
      </c>
      <c r="C10" s="515">
        <v>652.59</v>
      </c>
      <c r="D10" s="514">
        <v>1101</v>
      </c>
      <c r="E10" s="515">
        <v>929.85</v>
      </c>
      <c r="F10" s="515">
        <v>482.17</v>
      </c>
      <c r="G10" s="515">
        <v>497.95</v>
      </c>
      <c r="H10" s="515">
        <v>536.69000000000005</v>
      </c>
    </row>
    <row r="11" spans="2:9" ht="16.5">
      <c r="B11" s="512" t="s">
        <v>5</v>
      </c>
      <c r="C11" s="515">
        <v>377.3</v>
      </c>
      <c r="D11" s="515">
        <v>830.32</v>
      </c>
      <c r="E11" s="515">
        <v>439.34</v>
      </c>
      <c r="F11" s="515">
        <v>166.7</v>
      </c>
      <c r="G11" s="515">
        <v>88.59</v>
      </c>
      <c r="H11" s="515">
        <v>166.94</v>
      </c>
    </row>
    <row r="12" spans="2:9" ht="16.5">
      <c r="B12" s="512" t="s">
        <v>106</v>
      </c>
      <c r="C12" s="515">
        <v>-109.52</v>
      </c>
      <c r="D12" s="515">
        <v>-140.47999999999999</v>
      </c>
      <c r="E12" s="515">
        <v>-1.25</v>
      </c>
      <c r="F12" s="515">
        <v>-2.96</v>
      </c>
      <c r="G12" s="515">
        <v>-6.23</v>
      </c>
      <c r="H12" s="515">
        <v>-21.59</v>
      </c>
      <c r="I12" s="4"/>
    </row>
    <row r="13" spans="2:9" ht="16.5">
      <c r="B13" s="512" t="s">
        <v>107</v>
      </c>
      <c r="C13" s="515">
        <v>4.92</v>
      </c>
      <c r="D13" s="515">
        <v>6.92</v>
      </c>
      <c r="E13" s="515">
        <v>92.61</v>
      </c>
      <c r="F13" s="515">
        <v>-25.3</v>
      </c>
      <c r="G13" s="515">
        <v>1.43</v>
      </c>
      <c r="H13" s="515">
        <v>-25.57</v>
      </c>
      <c r="I13" s="4"/>
    </row>
    <row r="14" spans="2:9" ht="16.5">
      <c r="B14" s="512" t="s">
        <v>6</v>
      </c>
      <c r="C14" s="515">
        <v>-104.6</v>
      </c>
      <c r="D14" s="515">
        <v>-133.56</v>
      </c>
      <c r="E14" s="515">
        <v>91.36</v>
      </c>
      <c r="F14" s="515">
        <v>-28.26</v>
      </c>
      <c r="G14" s="515">
        <v>-4.8</v>
      </c>
      <c r="H14" s="515">
        <v>-47.16</v>
      </c>
    </row>
    <row r="15" spans="2:9" ht="16.5">
      <c r="B15" s="511" t="s">
        <v>7</v>
      </c>
      <c r="C15" s="515">
        <v>271.81</v>
      </c>
      <c r="D15" s="515">
        <v>688.55</v>
      </c>
      <c r="E15" s="515">
        <v>528.64</v>
      </c>
      <c r="F15" s="515">
        <v>127.56</v>
      </c>
      <c r="G15" s="515">
        <v>72.41</v>
      </c>
      <c r="H15" s="515">
        <v>124.79</v>
      </c>
    </row>
    <row r="16" spans="2:9" ht="16.5">
      <c r="B16" s="511" t="s">
        <v>8</v>
      </c>
      <c r="C16" s="515">
        <v>164.17</v>
      </c>
      <c r="D16" s="515">
        <v>168.5</v>
      </c>
      <c r="E16" s="515">
        <v>183.77</v>
      </c>
      <c r="F16" s="515">
        <v>118.99</v>
      </c>
      <c r="G16" s="515">
        <v>130.19</v>
      </c>
      <c r="H16" s="515">
        <v>148.5</v>
      </c>
    </row>
    <row r="17" spans="2:8" ht="22">
      <c r="B17" s="231" t="s">
        <v>10</v>
      </c>
      <c r="C17" s="231"/>
      <c r="D17" s="231"/>
      <c r="E17" s="231"/>
      <c r="F17" s="231"/>
      <c r="G17" s="231"/>
      <c r="H17" s="231"/>
    </row>
    <row r="18" spans="2:8" ht="16.5">
      <c r="B18" s="511" t="s">
        <v>56</v>
      </c>
      <c r="C18" s="507">
        <v>2020</v>
      </c>
      <c r="D18" s="507">
        <v>2021</v>
      </c>
      <c r="E18" s="507">
        <v>2022</v>
      </c>
      <c r="F18" s="507">
        <v>2023</v>
      </c>
      <c r="G18" s="507">
        <v>2024</v>
      </c>
      <c r="H18" s="507">
        <v>2025</v>
      </c>
    </row>
    <row r="19" spans="2:8" ht="20.5">
      <c r="B19" s="513" t="s">
        <v>54</v>
      </c>
      <c r="C19" s="105"/>
      <c r="D19" s="105"/>
      <c r="E19" s="105"/>
      <c r="F19" s="105"/>
      <c r="G19" s="105"/>
      <c r="H19" s="105"/>
    </row>
    <row r="20" spans="2:8" ht="33">
      <c r="B20" s="512" t="s">
        <v>11</v>
      </c>
      <c r="C20" s="515">
        <v>103.1</v>
      </c>
      <c r="D20" s="514">
        <v>2180</v>
      </c>
      <c r="E20" s="514">
        <v>1510</v>
      </c>
      <c r="F20" s="515">
        <v>123.69</v>
      </c>
      <c r="G20" s="515">
        <v>30.41</v>
      </c>
      <c r="H20" s="515">
        <v>41.19</v>
      </c>
    </row>
    <row r="21" spans="2:8" ht="16.5">
      <c r="B21" s="512" t="s">
        <v>12</v>
      </c>
      <c r="C21" s="515">
        <v>73.040000000000006</v>
      </c>
      <c r="D21" s="515">
        <v>81.67</v>
      </c>
      <c r="E21" s="515">
        <v>95.75</v>
      </c>
      <c r="F21" s="515">
        <v>93.6</v>
      </c>
      <c r="G21" s="515">
        <v>114.42</v>
      </c>
      <c r="H21" s="515">
        <v>120.94</v>
      </c>
    </row>
    <row r="22" spans="2:8" ht="16.5">
      <c r="B22" s="512" t="s">
        <v>13</v>
      </c>
      <c r="C22" s="515">
        <v>556.75</v>
      </c>
      <c r="D22" s="515">
        <v>753.9</v>
      </c>
      <c r="E22" s="515">
        <v>823.04</v>
      </c>
      <c r="F22" s="515">
        <v>780.53</v>
      </c>
      <c r="G22" s="514">
        <v>1040</v>
      </c>
      <c r="H22" s="515">
        <v>844.78</v>
      </c>
    </row>
    <row r="23" spans="2:8" ht="16.5">
      <c r="B23" s="512" t="s">
        <v>14</v>
      </c>
      <c r="C23" s="515">
        <v>49.53</v>
      </c>
      <c r="D23" s="515">
        <v>51.81</v>
      </c>
      <c r="E23" s="515">
        <v>31.23</v>
      </c>
      <c r="F23" s="515">
        <v>34.14</v>
      </c>
      <c r="G23" s="515">
        <v>46.71</v>
      </c>
      <c r="H23" s="515">
        <v>47.12</v>
      </c>
    </row>
    <row r="24" spans="2:8" ht="16.5">
      <c r="B24" s="512" t="s">
        <v>115</v>
      </c>
      <c r="C24" s="515">
        <v>0</v>
      </c>
      <c r="D24" s="515">
        <v>0</v>
      </c>
      <c r="E24" s="515">
        <v>24.35</v>
      </c>
      <c r="F24" s="515">
        <v>42.09</v>
      </c>
      <c r="G24" s="515">
        <v>29.59</v>
      </c>
      <c r="H24" s="515">
        <v>30.36</v>
      </c>
    </row>
    <row r="25" spans="2:8" ht="16.5">
      <c r="B25" s="512" t="s">
        <v>15</v>
      </c>
      <c r="C25" s="515">
        <v>782.42</v>
      </c>
      <c r="D25" s="514">
        <v>3070</v>
      </c>
      <c r="E25" s="514">
        <v>2490</v>
      </c>
      <c r="F25" s="514">
        <v>1070</v>
      </c>
      <c r="G25" s="514">
        <v>1260</v>
      </c>
      <c r="H25" s="514">
        <v>1080</v>
      </c>
    </row>
    <row r="26" spans="2:8" ht="20.5">
      <c r="B26" s="513" t="s">
        <v>16</v>
      </c>
      <c r="C26" s="516"/>
      <c r="D26" s="516"/>
      <c r="E26" s="516"/>
      <c r="F26" s="516"/>
      <c r="G26" s="516"/>
      <c r="H26" s="516"/>
    </row>
    <row r="27" spans="2:8" ht="16.5">
      <c r="B27" s="512" t="s">
        <v>17</v>
      </c>
      <c r="C27" s="514">
        <v>1670</v>
      </c>
      <c r="D27" s="514">
        <v>1980</v>
      </c>
      <c r="E27" s="514">
        <v>2210</v>
      </c>
      <c r="F27" s="514">
        <v>2430</v>
      </c>
      <c r="G27" s="514">
        <v>2640</v>
      </c>
      <c r="H27" s="514">
        <v>3110</v>
      </c>
    </row>
    <row r="28" spans="2:8" ht="16.5">
      <c r="B28" s="512" t="s">
        <v>18</v>
      </c>
      <c r="C28" s="515">
        <v>104.58</v>
      </c>
      <c r="D28" s="515">
        <v>100.81</v>
      </c>
      <c r="E28" s="515">
        <v>101.47</v>
      </c>
      <c r="F28" s="515">
        <v>128.66999999999999</v>
      </c>
      <c r="G28" s="515">
        <v>126.91</v>
      </c>
      <c r="H28" s="515">
        <v>119.75</v>
      </c>
    </row>
    <row r="29" spans="2:8" ht="16.5">
      <c r="B29" s="512" t="s">
        <v>19</v>
      </c>
      <c r="C29" s="515">
        <v>212.76</v>
      </c>
      <c r="D29" s="515">
        <v>214.26</v>
      </c>
      <c r="E29" s="515">
        <v>215.68</v>
      </c>
      <c r="F29" s="515">
        <v>216.96</v>
      </c>
      <c r="G29" s="515">
        <v>217.06</v>
      </c>
      <c r="H29" s="515">
        <v>224.02</v>
      </c>
    </row>
    <row r="30" spans="2:8" ht="16.5">
      <c r="B30" s="512" t="s">
        <v>20</v>
      </c>
      <c r="C30" s="514">
        <v>2900</v>
      </c>
      <c r="D30" s="514">
        <v>5540</v>
      </c>
      <c r="E30" s="514">
        <v>5310</v>
      </c>
      <c r="F30" s="514">
        <v>4140</v>
      </c>
      <c r="G30" s="514">
        <v>4550</v>
      </c>
      <c r="H30" s="514">
        <v>4840</v>
      </c>
    </row>
    <row r="31" spans="2:8" ht="20.5">
      <c r="B31" s="513" t="s">
        <v>21</v>
      </c>
      <c r="C31" s="516"/>
      <c r="D31" s="516"/>
      <c r="E31" s="516"/>
      <c r="F31" s="516"/>
      <c r="G31" s="516"/>
      <c r="H31" s="516"/>
    </row>
    <row r="32" spans="2:8" ht="16.5">
      <c r="B32" s="512" t="s">
        <v>22</v>
      </c>
      <c r="C32" s="515">
        <v>108.94</v>
      </c>
      <c r="D32" s="515">
        <v>135.96</v>
      </c>
      <c r="E32" s="515">
        <v>125.25</v>
      </c>
      <c r="F32" s="515">
        <v>167.03</v>
      </c>
      <c r="G32" s="515">
        <v>147.08000000000001</v>
      </c>
      <c r="H32" s="515">
        <v>156.53</v>
      </c>
    </row>
    <row r="33" spans="2:8" ht="16.5">
      <c r="B33" s="512" t="s">
        <v>23</v>
      </c>
      <c r="C33" s="515">
        <v>224.91</v>
      </c>
      <c r="D33" s="515">
        <v>242.03</v>
      </c>
      <c r="E33" s="515">
        <v>166.08</v>
      </c>
      <c r="F33" s="515">
        <v>192.34</v>
      </c>
      <c r="G33" s="515">
        <v>245.26</v>
      </c>
      <c r="H33" s="515">
        <v>197.74</v>
      </c>
    </row>
    <row r="34" spans="2:8" ht="16.5">
      <c r="B34" s="512" t="s">
        <v>24</v>
      </c>
      <c r="C34" s="515">
        <v>84.86</v>
      </c>
      <c r="D34" s="515">
        <v>96.86</v>
      </c>
      <c r="E34" s="515">
        <v>76.650000000000006</v>
      </c>
      <c r="F34" s="515">
        <v>43.84</v>
      </c>
      <c r="G34" s="515">
        <v>50.69</v>
      </c>
      <c r="H34" s="515">
        <v>54.93</v>
      </c>
    </row>
    <row r="35" spans="2:8" ht="16.5">
      <c r="B35" s="512" t="s">
        <v>25</v>
      </c>
      <c r="C35" s="515">
        <v>280.64</v>
      </c>
      <c r="D35" s="515">
        <v>387.93</v>
      </c>
      <c r="E35" s="515">
        <v>325.75</v>
      </c>
      <c r="F35" s="515">
        <v>282.81</v>
      </c>
      <c r="G35" s="515">
        <v>291.81</v>
      </c>
      <c r="H35" s="515">
        <v>356.64</v>
      </c>
    </row>
    <row r="36" spans="2:8" ht="16.5">
      <c r="B36" s="512" t="s">
        <v>26</v>
      </c>
      <c r="C36" s="515">
        <v>172.74</v>
      </c>
      <c r="D36" s="515">
        <v>169.61</v>
      </c>
      <c r="E36" s="515">
        <v>192.24</v>
      </c>
      <c r="F36" s="515">
        <v>181.03</v>
      </c>
      <c r="G36" s="515">
        <v>165.06</v>
      </c>
      <c r="H36" s="515">
        <v>161.86000000000001</v>
      </c>
    </row>
    <row r="37" spans="2:8" ht="16.5">
      <c r="B37" s="512" t="s">
        <v>27</v>
      </c>
      <c r="C37" s="515">
        <v>921.63</v>
      </c>
      <c r="D37" s="514">
        <v>1060</v>
      </c>
      <c r="E37" s="515">
        <v>885.97</v>
      </c>
      <c r="F37" s="515">
        <v>872.87</v>
      </c>
      <c r="G37" s="515">
        <v>905.13</v>
      </c>
      <c r="H37" s="515">
        <v>930.61</v>
      </c>
    </row>
    <row r="38" spans="2:8" ht="20.5">
      <c r="B38" s="513" t="s">
        <v>28</v>
      </c>
      <c r="C38" s="516"/>
      <c r="D38" s="516"/>
      <c r="E38" s="516"/>
      <c r="F38" s="516"/>
      <c r="G38" s="516"/>
      <c r="H38" s="516"/>
    </row>
    <row r="39" spans="2:8" ht="16.5">
      <c r="B39" s="512" t="s">
        <v>29</v>
      </c>
      <c r="C39" s="514">
        <v>1510</v>
      </c>
      <c r="D39" s="514">
        <v>3300</v>
      </c>
      <c r="E39" s="514">
        <v>3620</v>
      </c>
      <c r="F39" s="514">
        <v>3550</v>
      </c>
      <c r="G39" s="514">
        <v>3790</v>
      </c>
      <c r="H39" s="514">
        <v>3810</v>
      </c>
    </row>
    <row r="40" spans="2:8" ht="16.5">
      <c r="B40" s="512" t="s">
        <v>30</v>
      </c>
      <c r="C40" s="514">
        <v>1620</v>
      </c>
      <c r="D40" s="514">
        <v>3430</v>
      </c>
      <c r="E40" s="514">
        <v>3750</v>
      </c>
      <c r="F40" s="514">
        <v>3720</v>
      </c>
      <c r="G40" s="514">
        <v>3940</v>
      </c>
      <c r="H40" s="514">
        <v>3970</v>
      </c>
    </row>
    <row r="41" spans="2:8" ht="16.5">
      <c r="B41" s="512" t="s">
        <v>31</v>
      </c>
      <c r="C41" s="514">
        <v>1520</v>
      </c>
      <c r="D41" s="514">
        <v>1250</v>
      </c>
      <c r="E41" s="514">
        <v>2240</v>
      </c>
      <c r="F41" s="514">
        <v>3590</v>
      </c>
      <c r="G41" s="514">
        <v>3910</v>
      </c>
      <c r="H41" s="514">
        <v>3930</v>
      </c>
    </row>
    <row r="42" spans="2:8" ht="20.5">
      <c r="B42" s="513" t="s">
        <v>32</v>
      </c>
      <c r="C42" s="516"/>
      <c r="D42" s="516"/>
      <c r="E42" s="516"/>
      <c r="F42" s="516"/>
      <c r="G42" s="516"/>
      <c r="H42" s="516"/>
    </row>
    <row r="43" spans="2:8" ht="16.5">
      <c r="B43" s="512" t="s">
        <v>33</v>
      </c>
      <c r="C43" s="515">
        <v>447.03</v>
      </c>
      <c r="D43" s="514">
        <v>1170</v>
      </c>
      <c r="E43" s="515">
        <v>784.66</v>
      </c>
      <c r="F43" s="515">
        <v>-297.39</v>
      </c>
      <c r="G43" s="515">
        <v>-163.59</v>
      </c>
      <c r="H43" s="515">
        <v>60.6</v>
      </c>
    </row>
    <row r="44" spans="2:8" ht="22">
      <c r="B44" s="231" t="s">
        <v>34</v>
      </c>
      <c r="C44" s="231"/>
      <c r="D44" s="231"/>
      <c r="E44" s="231"/>
      <c r="F44" s="231"/>
      <c r="G44" s="231"/>
      <c r="H44" s="231"/>
    </row>
    <row r="45" spans="2:8" ht="16.5">
      <c r="B45" s="511" t="s">
        <v>56</v>
      </c>
      <c r="C45" s="507">
        <v>2020</v>
      </c>
      <c r="D45" s="507">
        <v>2021</v>
      </c>
      <c r="E45" s="507">
        <v>2022</v>
      </c>
      <c r="F45" s="507">
        <v>2023</v>
      </c>
      <c r="G45" s="507">
        <v>2024</v>
      </c>
      <c r="H45" s="507">
        <v>2025</v>
      </c>
    </row>
    <row r="46" spans="2:8" ht="20.5">
      <c r="B46" s="513" t="s">
        <v>35</v>
      </c>
      <c r="C46" s="105"/>
      <c r="D46" s="105"/>
      <c r="E46" s="105"/>
      <c r="F46" s="105"/>
      <c r="G46" s="105"/>
      <c r="H46" s="105"/>
    </row>
    <row r="47" spans="2:8" ht="33">
      <c r="B47" s="512" t="s">
        <v>36</v>
      </c>
      <c r="C47" s="515">
        <v>500.77</v>
      </c>
      <c r="D47" s="515">
        <v>662.11</v>
      </c>
      <c r="E47" s="515">
        <v>403.69</v>
      </c>
      <c r="F47" s="515">
        <v>202.21</v>
      </c>
      <c r="G47" s="515">
        <v>17.09</v>
      </c>
      <c r="H47" s="515">
        <v>452.24</v>
      </c>
    </row>
    <row r="48" spans="2:8" ht="16.5">
      <c r="B48" s="512" t="s">
        <v>37</v>
      </c>
      <c r="C48" s="515">
        <v>607.54999999999995</v>
      </c>
      <c r="D48" s="515">
        <v>940.86</v>
      </c>
      <c r="E48" s="515">
        <v>902.09</v>
      </c>
      <c r="F48" s="515">
        <v>458.3</v>
      </c>
      <c r="G48" s="515">
        <v>431.64</v>
      </c>
      <c r="H48" s="515">
        <v>501.43</v>
      </c>
    </row>
    <row r="49" spans="2:8" ht="16.5">
      <c r="B49" s="512" t="s">
        <v>7</v>
      </c>
      <c r="C49" s="515">
        <v>271.81</v>
      </c>
      <c r="D49" s="515">
        <v>688.55</v>
      </c>
      <c r="E49" s="515">
        <v>528.64</v>
      </c>
      <c r="F49" s="515">
        <v>127.56</v>
      </c>
      <c r="G49" s="515">
        <v>72.41</v>
      </c>
      <c r="H49" s="515">
        <v>124.79</v>
      </c>
    </row>
    <row r="50" spans="2:8" ht="16.5">
      <c r="B50" s="512" t="s">
        <v>8</v>
      </c>
      <c r="C50" s="515">
        <v>164.17</v>
      </c>
      <c r="D50" s="515">
        <v>168.5</v>
      </c>
      <c r="E50" s="515">
        <v>183.77</v>
      </c>
      <c r="F50" s="515">
        <v>118.99</v>
      </c>
      <c r="G50" s="515">
        <v>130.19</v>
      </c>
      <c r="H50" s="515">
        <v>148.5</v>
      </c>
    </row>
    <row r="51" spans="2:8" ht="16.5">
      <c r="B51" s="512" t="s">
        <v>97</v>
      </c>
      <c r="C51" s="515"/>
      <c r="D51" s="515"/>
      <c r="E51" s="515"/>
      <c r="F51" s="515"/>
      <c r="G51" s="515"/>
      <c r="H51" s="515"/>
    </row>
    <row r="52" spans="2:8" ht="16.5">
      <c r="B52" s="512" t="s">
        <v>38</v>
      </c>
      <c r="C52" s="515">
        <v>-4.92</v>
      </c>
      <c r="D52" s="515">
        <v>-6.92</v>
      </c>
      <c r="E52" s="515">
        <v>-91.99</v>
      </c>
      <c r="F52" s="515">
        <v>25.27</v>
      </c>
      <c r="G52" s="515">
        <v>-1.49</v>
      </c>
      <c r="H52" s="515">
        <v>25.63</v>
      </c>
    </row>
    <row r="53" spans="2:8" ht="16.5">
      <c r="B53" s="512" t="s">
        <v>39</v>
      </c>
      <c r="C53" s="515">
        <v>176.48</v>
      </c>
      <c r="D53" s="515">
        <v>90.74</v>
      </c>
      <c r="E53" s="515">
        <v>281.66000000000003</v>
      </c>
      <c r="F53" s="515">
        <v>186.48</v>
      </c>
      <c r="G53" s="515">
        <v>230.53</v>
      </c>
      <c r="H53" s="515">
        <v>202.51</v>
      </c>
    </row>
    <row r="54" spans="2:8" ht="16.5">
      <c r="B54" s="512" t="s">
        <v>40</v>
      </c>
      <c r="C54" s="515">
        <v>-106.78</v>
      </c>
      <c r="D54" s="515">
        <v>-278.75</v>
      </c>
      <c r="E54" s="515">
        <v>-498.4</v>
      </c>
      <c r="F54" s="515">
        <v>-256.08</v>
      </c>
      <c r="G54" s="515">
        <v>-414.55</v>
      </c>
      <c r="H54" s="515">
        <v>-49.18</v>
      </c>
    </row>
    <row r="55" spans="2:8" ht="20.5">
      <c r="B55" s="513" t="s">
        <v>41</v>
      </c>
      <c r="C55" s="516"/>
      <c r="D55" s="516"/>
      <c r="E55" s="516"/>
      <c r="F55" s="516"/>
      <c r="G55" s="516"/>
      <c r="H55" s="516"/>
    </row>
    <row r="56" spans="2:8" ht="16.5">
      <c r="B56" s="512" t="s">
        <v>42</v>
      </c>
      <c r="C56" s="515">
        <v>-197.6</v>
      </c>
      <c r="D56" s="515">
        <v>-194.35</v>
      </c>
      <c r="E56" s="515">
        <v>-171.07</v>
      </c>
      <c r="F56" s="515">
        <v>-307.43</v>
      </c>
      <c r="G56" s="515">
        <v>-240.41</v>
      </c>
      <c r="H56" s="515">
        <v>-223.69</v>
      </c>
    </row>
    <row r="57" spans="2:8" ht="16.5">
      <c r="B57" s="512" t="s">
        <v>43</v>
      </c>
      <c r="C57" s="515">
        <v>-111.13</v>
      </c>
      <c r="D57" s="515">
        <v>-185.38</v>
      </c>
      <c r="E57" s="515">
        <v>-173.64</v>
      </c>
      <c r="F57" s="515">
        <v>-269.36</v>
      </c>
      <c r="G57" s="515">
        <v>-230.79</v>
      </c>
      <c r="H57" s="515">
        <v>-202.94</v>
      </c>
    </row>
    <row r="58" spans="2:8" ht="16.5">
      <c r="B58" s="512" t="s">
        <v>44</v>
      </c>
      <c r="C58" s="515">
        <v>-80.72</v>
      </c>
      <c r="D58" s="515">
        <v>-8.9700000000000006</v>
      </c>
      <c r="E58" s="515">
        <v>-2.71</v>
      </c>
      <c r="F58" s="515">
        <v>-38.08</v>
      </c>
      <c r="G58" s="515">
        <v>-9.6199999999999992</v>
      </c>
      <c r="H58" s="515">
        <v>9.2899999999999991</v>
      </c>
    </row>
    <row r="59" spans="2:8" ht="33">
      <c r="B59" s="512" t="s">
        <v>45</v>
      </c>
      <c r="C59" s="515">
        <v>-243.91</v>
      </c>
      <c r="D59" s="514">
        <v>1610</v>
      </c>
      <c r="E59" s="515">
        <v>-902.48</v>
      </c>
      <c r="F59" s="514">
        <v>-1280</v>
      </c>
      <c r="G59" s="515">
        <v>130.59</v>
      </c>
      <c r="H59" s="515">
        <v>-219.4</v>
      </c>
    </row>
    <row r="60" spans="2:8" ht="16.5">
      <c r="B60" s="512" t="s">
        <v>46</v>
      </c>
      <c r="C60" s="515">
        <v>14.38</v>
      </c>
      <c r="D60" s="515">
        <v>32.049999999999997</v>
      </c>
      <c r="E60" s="515">
        <v>-768.7</v>
      </c>
      <c r="F60" s="514">
        <v>-1240</v>
      </c>
      <c r="G60" s="515">
        <v>18.920000000000002</v>
      </c>
      <c r="H60" s="515">
        <v>4.3899999999999997</v>
      </c>
    </row>
    <row r="61" spans="2:8" ht="16.5">
      <c r="B61" s="512" t="s">
        <v>47</v>
      </c>
      <c r="C61" s="515">
        <v>-249.94</v>
      </c>
      <c r="D61" s="514">
        <v>1600</v>
      </c>
      <c r="E61" s="515">
        <v>266.02</v>
      </c>
      <c r="F61" s="515">
        <v>-41.85</v>
      </c>
      <c r="G61" s="515">
        <v>112.22</v>
      </c>
      <c r="H61" s="515">
        <v>-221.38</v>
      </c>
    </row>
    <row r="62" spans="2:8" ht="16.5">
      <c r="B62" s="512" t="s">
        <v>48</v>
      </c>
      <c r="C62" s="515">
        <v>0</v>
      </c>
      <c r="D62" s="515">
        <v>0</v>
      </c>
      <c r="E62" s="515">
        <v>0</v>
      </c>
      <c r="F62" s="515">
        <v>0</v>
      </c>
      <c r="G62" s="515">
        <v>0</v>
      </c>
      <c r="H62" s="515">
        <v>0</v>
      </c>
    </row>
    <row r="63" spans="2:8" ht="16.5">
      <c r="B63" s="512" t="s">
        <v>49</v>
      </c>
      <c r="C63" s="515">
        <v>389.64</v>
      </c>
      <c r="D63" s="515">
        <v>476.73</v>
      </c>
      <c r="E63" s="515">
        <v>230.04</v>
      </c>
      <c r="F63" s="515">
        <v>-67.14</v>
      </c>
      <c r="G63" s="515">
        <v>-213.69</v>
      </c>
      <c r="H63" s="515">
        <v>252.4</v>
      </c>
    </row>
    <row r="64" spans="2:8" ht="22">
      <c r="B64" s="231" t="s">
        <v>55</v>
      </c>
      <c r="C64" s="231"/>
      <c r="D64" s="231"/>
      <c r="E64" s="231"/>
      <c r="F64" s="231"/>
      <c r="G64" s="231"/>
      <c r="H64" s="231"/>
    </row>
    <row r="65" spans="2:8" ht="16.5">
      <c r="B65" s="511" t="s">
        <v>56</v>
      </c>
      <c r="C65" s="507">
        <v>2020</v>
      </c>
      <c r="D65" s="507">
        <v>2021</v>
      </c>
      <c r="E65" s="507">
        <v>2022</v>
      </c>
      <c r="F65" s="507">
        <v>2023</v>
      </c>
      <c r="G65" s="507">
        <v>2024</v>
      </c>
      <c r="H65" s="507">
        <v>2025</v>
      </c>
    </row>
    <row r="66" spans="2:8" ht="16.5">
      <c r="B66" s="512" t="s">
        <v>50</v>
      </c>
      <c r="C66" s="515">
        <v>-10.48</v>
      </c>
      <c r="D66" s="515">
        <v>1.56</v>
      </c>
      <c r="E66" s="515">
        <v>-1.85</v>
      </c>
      <c r="F66" s="515">
        <v>4.6900000000000004</v>
      </c>
      <c r="G66" s="515">
        <v>-8.48</v>
      </c>
      <c r="H66" s="515">
        <v>0.25</v>
      </c>
    </row>
    <row r="67" spans="2:8" ht="16.5">
      <c r="B67" s="512" t="s">
        <v>51</v>
      </c>
      <c r="C67" s="515">
        <v>63.58</v>
      </c>
      <c r="D67" s="515">
        <v>43.44</v>
      </c>
      <c r="E67" s="515">
        <v>-56.26</v>
      </c>
      <c r="F67" s="515">
        <v>-41.07</v>
      </c>
      <c r="G67" s="515">
        <v>46.78</v>
      </c>
      <c r="H67" s="515">
        <v>-13.55</v>
      </c>
    </row>
    <row r="68" spans="2:8" ht="16.5">
      <c r="B68" s="512" t="s">
        <v>52</v>
      </c>
      <c r="C68" s="515">
        <v>-104.62</v>
      </c>
      <c r="D68" s="515">
        <v>-190.07</v>
      </c>
      <c r="E68" s="515">
        <v>-77.19</v>
      </c>
      <c r="F68" s="515">
        <v>47.27</v>
      </c>
      <c r="G68" s="515">
        <v>-268.57</v>
      </c>
      <c r="H68" s="515">
        <v>213.78</v>
      </c>
    </row>
    <row r="69" spans="2:8" ht="33">
      <c r="B69" s="512" t="s">
        <v>53</v>
      </c>
      <c r="C69" s="515">
        <v>-55.26</v>
      </c>
      <c r="D69" s="515">
        <v>-133.66999999999999</v>
      </c>
      <c r="E69" s="515">
        <v>-363.1</v>
      </c>
      <c r="F69" s="515">
        <v>-266.98</v>
      </c>
      <c r="G69" s="515">
        <v>-184.27</v>
      </c>
      <c r="H69" s="515">
        <v>-249.66</v>
      </c>
    </row>
    <row r="70" spans="2:8">
      <c r="B70" s="47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Dashboard</vt:lpstr>
      <vt:lpstr>DCF Sensitivity Analysis</vt:lpstr>
      <vt:lpstr>DCF Inputs</vt:lpstr>
      <vt:lpstr>DCF Model</vt:lpstr>
      <vt:lpstr>Comps</vt:lpstr>
      <vt:lpstr>Transactions</vt:lpstr>
      <vt:lpstr>RH Financial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Frawery GG</dc:creator>
  <cp:lastModifiedBy>E4825</cp:lastModifiedBy>
  <dcterms:created xsi:type="dcterms:W3CDTF">2015-06-05T18:17:20Z</dcterms:created>
  <dcterms:modified xsi:type="dcterms:W3CDTF">2026-06-02T04:12:55Z</dcterms:modified>
</cp:coreProperties>
</file>